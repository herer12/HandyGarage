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Dokumente\Schuldateien\SPL\Handy Garage\Hardware\"/>
    </mc:Choice>
  </mc:AlternateContent>
  <xr:revisionPtr revIDLastSave="0" documentId="13_ncr:1_{6459F39C-E7AE-4FAA-BC0B-E807A389E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ile" sheetId="1" r:id="rId1"/>
    <sheet name="Anschlüsse" sheetId="3" r:id="rId2"/>
    <sheet name="Erkläru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I10" i="1"/>
  <c r="I8" i="1"/>
  <c r="H8" i="1"/>
  <c r="I6" i="1"/>
  <c r="I5" i="1"/>
  <c r="I4" i="1"/>
</calcChain>
</file>

<file path=xl/sharedStrings.xml><?xml version="1.0" encoding="utf-8"?>
<sst xmlns="http://schemas.openxmlformats.org/spreadsheetml/2006/main" count="150" uniqueCount="75">
  <si>
    <t>Nr.</t>
  </si>
  <si>
    <t>Kategorie</t>
  </si>
  <si>
    <t>Bauteil</t>
  </si>
  <si>
    <t>Modell / Typ</t>
  </si>
  <si>
    <t>Einheit</t>
  </si>
  <si>
    <t>Preis/Stk. (geschätzt, €)</t>
  </si>
  <si>
    <t>Gesamtpreis (€)</t>
  </si>
  <si>
    <t>Verwendungszweck / Bemerkung</t>
  </si>
  <si>
    <t>Menge pro Modul</t>
  </si>
  <si>
    <t>Steuerung</t>
  </si>
  <si>
    <t>Mikrocontroller</t>
  </si>
  <si>
    <t>Stk.</t>
  </si>
  <si>
    <t>Für die Steuerung und Verwaltung der Handygarage</t>
  </si>
  <si>
    <t>INA219</t>
  </si>
  <si>
    <t>Sensorik</t>
  </si>
  <si>
    <t>y1xx</t>
  </si>
  <si>
    <t>Notwendig</t>
  </si>
  <si>
    <t>1zxx</t>
  </si>
  <si>
    <t>y0xx</t>
  </si>
  <si>
    <t>Stromessung</t>
  </si>
  <si>
    <t>1 pro Stellplatz, erkennt ob Handy angesteckt (M1/E1)</t>
  </si>
  <si>
    <t>Kann weglassen ist aber vorteilhaft</t>
  </si>
  <si>
    <t>Bedienung</t>
  </si>
  <si>
    <t>y2xx</t>
  </si>
  <si>
    <t>Rotary-Encoder Modul (KY-040)</t>
  </si>
  <si>
    <t>Steuerelement</t>
  </si>
  <si>
    <t>Anzeige</t>
  </si>
  <si>
    <t>y3xx</t>
  </si>
  <si>
    <t>Display</t>
  </si>
  <si>
    <t>OLED SSD1306 0,96" I2C 128x64</t>
  </si>
  <si>
    <t>Stromversorgung</t>
  </si>
  <si>
    <t>y4xx</t>
  </si>
  <si>
    <t>Lademodul</t>
  </si>
  <si>
    <t>USB-C Lademodul</t>
  </si>
  <si>
    <t>USB-A Lademodul</t>
  </si>
  <si>
    <t>y5xx</t>
  </si>
  <si>
    <t>Verbindung zum ESP32</t>
  </si>
  <si>
    <t>SSD1306</t>
  </si>
  <si>
    <t>I²C</t>
  </si>
  <si>
    <t>GPIO</t>
  </si>
  <si>
    <t>I²C Bus</t>
  </si>
  <si>
    <t>Schnitstelle</t>
  </si>
  <si>
    <t>0x40</t>
  </si>
  <si>
    <t>0x41</t>
  </si>
  <si>
    <t>0x44</t>
  </si>
  <si>
    <t>0x45</t>
  </si>
  <si>
    <t>0x46</t>
  </si>
  <si>
    <t>ESP32-S3 Microcontroller</t>
  </si>
  <si>
    <t>24V</t>
  </si>
  <si>
    <t>R-78K3.3-0.5 (DC/DC-Wandler) </t>
  </si>
  <si>
    <t>DC DC Wandler</t>
  </si>
  <si>
    <t>Stromversorgung für den esp32</t>
  </si>
  <si>
    <t>Zum steuern des Display</t>
  </si>
  <si>
    <t>Zum Darstellen von Informationen</t>
  </si>
  <si>
    <t>Stecker selbsterklärend</t>
  </si>
  <si>
    <t>Stromversorgung das gesamte system</t>
  </si>
  <si>
    <t xml:space="preserve">Kann durch was anderes erstezt werden </t>
  </si>
  <si>
    <t>2xxx</t>
  </si>
  <si>
    <t>3zxx</t>
  </si>
  <si>
    <t>Externes Netzteil</t>
  </si>
  <si>
    <t>PD65W USB-C Schnelllademodul </t>
  </si>
  <si>
    <t>y6xx</t>
  </si>
  <si>
    <t>Gehäuse</t>
  </si>
  <si>
    <t>Magneten</t>
  </si>
  <si>
    <t>Schrauben</t>
  </si>
  <si>
    <t>M4*20</t>
  </si>
  <si>
    <t xml:space="preserve">Zu benutzen um den Deckel an das Gehäuse zu schrauben </t>
  </si>
  <si>
    <t>Zu benutzen um die Verbinugen der Gehäuse festzuschrauchen</t>
  </si>
  <si>
    <t>Um die Handyablage anzubringen</t>
  </si>
  <si>
    <t>Um die Handygaragen zussamenzushalten</t>
  </si>
  <si>
    <t>IRLB8721</t>
  </si>
  <si>
    <t>Mosfet</t>
  </si>
  <si>
    <t xml:space="preserve">Um jedes Lademodul einzeln abzudrehen </t>
  </si>
  <si>
    <t>Schalter/Button</t>
  </si>
  <si>
    <t xml:space="preserve">Die Idee ist es dem esp ein Signal zu geben das sich dieser abdrehen kann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</si>
</sst>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44" fontId="0" fillId="0" borderId="0" xfId="1" applyFont="1"/>
    <xf numFmtId="0" fontId="2" fillId="0" borderId="1" xfId="0" applyFont="1" applyBorder="1" applyAlignment="1">
      <alignment vertical="center"/>
    </xf>
    <xf numFmtId="44" fontId="0" fillId="0" borderId="0" xfId="1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2" fillId="0" borderId="0" xfId="0" applyFont="1" applyAlignment="1">
      <alignment horizontal="left" vertical="top"/>
    </xf>
    <xf numFmtId="0" fontId="0" fillId="0" borderId="2" xfId="0" applyBorder="1"/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0" xfId="0" applyFont="1"/>
    <xf numFmtId="44" fontId="2" fillId="0" borderId="1" xfId="1" applyFont="1" applyBorder="1" applyAlignment="1">
      <alignment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"/>
  <sheetViews>
    <sheetView tabSelected="1" workbookViewId="0">
      <selection activeCell="E5" sqref="E5"/>
    </sheetView>
  </sheetViews>
  <sheetFormatPr baseColWidth="10" defaultColWidth="8.88671875" defaultRowHeight="14.4" x14ac:dyDescent="0.3"/>
  <cols>
    <col min="3" max="3" width="14.77734375" bestFit="1" customWidth="1"/>
    <col min="4" max="4" width="16.44140625" bestFit="1" customWidth="1"/>
    <col min="5" max="5" width="34.88671875" bestFit="1" customWidth="1"/>
    <col min="6" max="6" width="15.44140625" bestFit="1" customWidth="1"/>
    <col min="8" max="8" width="20.6640625" customWidth="1"/>
    <col min="9" max="9" width="13.6640625" bestFit="1" customWidth="1"/>
    <col min="10" max="10" width="42.88671875" bestFit="1" customWidth="1"/>
  </cols>
  <sheetData>
    <row r="2" spans="2:10" ht="21" customHeight="1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3" t="s">
        <v>4</v>
      </c>
      <c r="H2" s="3" t="s">
        <v>5</v>
      </c>
      <c r="I2" s="3" t="s">
        <v>6</v>
      </c>
      <c r="J2" s="3" t="s">
        <v>7</v>
      </c>
    </row>
    <row r="3" spans="2:10" ht="21.6" customHeight="1" x14ac:dyDescent="0.3">
      <c r="B3" s="2">
        <v>1000</v>
      </c>
      <c r="C3" s="2" t="s">
        <v>9</v>
      </c>
      <c r="D3" s="5" t="s">
        <v>10</v>
      </c>
      <c r="E3" s="2" t="s">
        <v>47</v>
      </c>
      <c r="F3" s="2">
        <v>1</v>
      </c>
      <c r="G3" s="2" t="s">
        <v>11</v>
      </c>
      <c r="H3" s="6">
        <f>17/3</f>
        <v>5.666666666666667</v>
      </c>
      <c r="I3" s="6">
        <f>H3*F3</f>
        <v>5.666666666666667</v>
      </c>
      <c r="J3" s="2" t="s">
        <v>12</v>
      </c>
    </row>
    <row r="4" spans="2:10" ht="28.2" customHeight="1" x14ac:dyDescent="0.3">
      <c r="B4" s="2">
        <v>2100</v>
      </c>
      <c r="C4" s="2" t="s">
        <v>14</v>
      </c>
      <c r="D4" s="2" t="s">
        <v>19</v>
      </c>
      <c r="E4" s="5" t="s">
        <v>13</v>
      </c>
      <c r="F4" s="2">
        <v>4</v>
      </c>
      <c r="G4" s="2" t="s">
        <v>11</v>
      </c>
      <c r="H4" s="6">
        <v>2</v>
      </c>
      <c r="I4" s="6">
        <f>H4*F4</f>
        <v>8</v>
      </c>
      <c r="J4" s="7" t="s">
        <v>20</v>
      </c>
    </row>
    <row r="5" spans="2:10" x14ac:dyDescent="0.3">
      <c r="B5">
        <v>2200</v>
      </c>
      <c r="C5" t="s">
        <v>22</v>
      </c>
      <c r="D5" s="1" t="s">
        <v>25</v>
      </c>
      <c r="E5" s="1" t="s">
        <v>24</v>
      </c>
      <c r="F5">
        <v>1</v>
      </c>
      <c r="G5" s="2" t="s">
        <v>11</v>
      </c>
      <c r="H5" s="4">
        <v>2</v>
      </c>
      <c r="I5" s="4">
        <f>H5</f>
        <v>2</v>
      </c>
      <c r="J5" t="s">
        <v>52</v>
      </c>
    </row>
    <row r="6" spans="2:10" x14ac:dyDescent="0.3">
      <c r="B6">
        <v>1300</v>
      </c>
      <c r="C6" s="1" t="s">
        <v>26</v>
      </c>
      <c r="D6" s="1" t="s">
        <v>28</v>
      </c>
      <c r="E6" s="1" t="s">
        <v>29</v>
      </c>
      <c r="F6" s="1">
        <v>1</v>
      </c>
      <c r="G6" s="1" t="s">
        <v>11</v>
      </c>
      <c r="H6" s="18">
        <v>6</v>
      </c>
      <c r="I6" s="18">
        <f t="shared" ref="I6" si="0">F6*H6</f>
        <v>6</v>
      </c>
      <c r="J6" t="s">
        <v>53</v>
      </c>
    </row>
    <row r="7" spans="2:10" x14ac:dyDescent="0.3">
      <c r="B7">
        <v>2400</v>
      </c>
      <c r="C7" s="1" t="s">
        <v>30</v>
      </c>
      <c r="D7" s="16" t="s">
        <v>59</v>
      </c>
      <c r="E7" t="s">
        <v>48</v>
      </c>
      <c r="F7">
        <v>1</v>
      </c>
      <c r="G7" s="2" t="s">
        <v>11</v>
      </c>
      <c r="H7" s="4"/>
      <c r="I7" s="4"/>
      <c r="J7" t="s">
        <v>55</v>
      </c>
    </row>
    <row r="8" spans="2:10" x14ac:dyDescent="0.3">
      <c r="B8">
        <v>1500</v>
      </c>
      <c r="C8" s="1" t="s">
        <v>32</v>
      </c>
      <c r="D8" s="1" t="s">
        <v>33</v>
      </c>
      <c r="E8" t="s">
        <v>60</v>
      </c>
      <c r="F8" s="1">
        <v>3</v>
      </c>
      <c r="G8" s="1" t="s">
        <v>11</v>
      </c>
      <c r="H8" s="4">
        <f>8/3</f>
        <v>2.6666666666666665</v>
      </c>
      <c r="I8" s="4">
        <f>H8*F8</f>
        <v>8</v>
      </c>
      <c r="J8" t="s">
        <v>54</v>
      </c>
    </row>
    <row r="9" spans="2:10" x14ac:dyDescent="0.3">
      <c r="B9">
        <v>3500</v>
      </c>
      <c r="C9" s="1" t="s">
        <v>32</v>
      </c>
      <c r="D9" s="1" t="s">
        <v>34</v>
      </c>
      <c r="F9" s="1">
        <v>1</v>
      </c>
      <c r="G9" s="1" t="s">
        <v>11</v>
      </c>
      <c r="H9" s="4"/>
      <c r="I9" s="4"/>
      <c r="J9" t="s">
        <v>54</v>
      </c>
    </row>
    <row r="10" spans="2:10" x14ac:dyDescent="0.3">
      <c r="B10">
        <v>2410</v>
      </c>
      <c r="C10" s="1" t="s">
        <v>30</v>
      </c>
      <c r="D10" s="14" t="s">
        <v>50</v>
      </c>
      <c r="E10" s="17" t="s">
        <v>49</v>
      </c>
      <c r="F10" s="15">
        <v>1</v>
      </c>
      <c r="G10" s="1" t="s">
        <v>11</v>
      </c>
      <c r="H10" s="4">
        <v>3</v>
      </c>
      <c r="I10" s="4">
        <f>H10*F10</f>
        <v>3</v>
      </c>
      <c r="J10" t="s">
        <v>51</v>
      </c>
    </row>
    <row r="11" spans="2:10" x14ac:dyDescent="0.3">
      <c r="B11">
        <v>2600</v>
      </c>
      <c r="C11" s="13" t="s">
        <v>62</v>
      </c>
      <c r="D11" s="12" t="s">
        <v>64</v>
      </c>
      <c r="E11" s="12" t="s">
        <v>65</v>
      </c>
      <c r="F11" s="13">
        <v>4</v>
      </c>
      <c r="G11" s="1" t="s">
        <v>11</v>
      </c>
      <c r="J11" t="s">
        <v>66</v>
      </c>
    </row>
    <row r="12" spans="2:10" x14ac:dyDescent="0.3">
      <c r="B12">
        <v>2610</v>
      </c>
      <c r="C12" s="13" t="s">
        <v>62</v>
      </c>
      <c r="D12" s="12" t="s">
        <v>64</v>
      </c>
      <c r="E12" s="12" t="s">
        <v>65</v>
      </c>
      <c r="F12" s="13">
        <v>8</v>
      </c>
      <c r="G12" s="1" t="s">
        <v>11</v>
      </c>
      <c r="J12" t="s">
        <v>67</v>
      </c>
    </row>
    <row r="13" spans="2:10" x14ac:dyDescent="0.3">
      <c r="B13">
        <v>3600</v>
      </c>
      <c r="C13" s="13" t="s">
        <v>62</v>
      </c>
      <c r="D13" s="12" t="s">
        <v>63</v>
      </c>
      <c r="F13" s="13">
        <v>10</v>
      </c>
      <c r="G13" s="1" t="s">
        <v>11</v>
      </c>
      <c r="J13" t="s">
        <v>68</v>
      </c>
    </row>
    <row r="14" spans="2:10" x14ac:dyDescent="0.3">
      <c r="B14">
        <v>3610</v>
      </c>
      <c r="C14" s="13" t="s">
        <v>62</v>
      </c>
      <c r="D14" s="12" t="s">
        <v>63</v>
      </c>
      <c r="F14" s="13">
        <v>8</v>
      </c>
      <c r="G14" s="1" t="s">
        <v>11</v>
      </c>
      <c r="J14" t="s">
        <v>69</v>
      </c>
    </row>
    <row r="15" spans="2:10" x14ac:dyDescent="0.3">
      <c r="B15">
        <v>3510</v>
      </c>
      <c r="C15" s="13" t="s">
        <v>32</v>
      </c>
      <c r="D15" s="12" t="s">
        <v>71</v>
      </c>
      <c r="E15" t="s">
        <v>70</v>
      </c>
      <c r="F15" s="13">
        <v>4</v>
      </c>
      <c r="G15" s="1" t="s">
        <v>11</v>
      </c>
      <c r="J15" t="s">
        <v>72</v>
      </c>
    </row>
    <row r="16" spans="2:10" x14ac:dyDescent="0.3">
      <c r="B16">
        <v>3400</v>
      </c>
      <c r="C16" s="13" t="s">
        <v>30</v>
      </c>
      <c r="D16" s="13" t="s">
        <v>73</v>
      </c>
      <c r="F16" s="13">
        <v>1</v>
      </c>
      <c r="G16" s="1" t="s">
        <v>11</v>
      </c>
      <c r="J16" t="s">
        <v>74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C69D-F519-40DE-A020-721E94BD138E}">
  <dimension ref="B2:K23"/>
  <sheetViews>
    <sheetView workbookViewId="0">
      <selection activeCell="C15" sqref="C15"/>
    </sheetView>
  </sheetViews>
  <sheetFormatPr baseColWidth="10" defaultRowHeight="14.4" x14ac:dyDescent="0.3"/>
  <cols>
    <col min="4" max="4" width="16.44140625" bestFit="1" customWidth="1"/>
    <col min="5" max="5" width="27.5546875" bestFit="1" customWidth="1"/>
    <col min="6" max="6" width="22.21875" bestFit="1" customWidth="1"/>
  </cols>
  <sheetData>
    <row r="2" spans="2:11" x14ac:dyDescent="0.3">
      <c r="B2" s="8" t="s">
        <v>0</v>
      </c>
      <c r="C2" s="8" t="s">
        <v>1</v>
      </c>
      <c r="D2" s="8" t="s">
        <v>2</v>
      </c>
      <c r="E2" s="8" t="s">
        <v>3</v>
      </c>
      <c r="F2" s="9" t="s">
        <v>36</v>
      </c>
      <c r="J2" t="s">
        <v>14</v>
      </c>
      <c r="K2" t="s">
        <v>15</v>
      </c>
    </row>
    <row r="3" spans="2:11" x14ac:dyDescent="0.3">
      <c r="B3">
        <v>1301</v>
      </c>
      <c r="C3" s="1" t="s">
        <v>26</v>
      </c>
      <c r="D3" s="1" t="s">
        <v>28</v>
      </c>
      <c r="E3" s="1" t="s">
        <v>37</v>
      </c>
      <c r="F3" s="10" t="s">
        <v>38</v>
      </c>
      <c r="J3" t="s">
        <v>9</v>
      </c>
      <c r="K3" t="s">
        <v>18</v>
      </c>
    </row>
    <row r="4" spans="2:11" x14ac:dyDescent="0.3">
      <c r="B4" s="2">
        <v>1101</v>
      </c>
      <c r="C4" s="2" t="s">
        <v>14</v>
      </c>
      <c r="D4" s="2" t="s">
        <v>19</v>
      </c>
      <c r="E4" s="5" t="s">
        <v>13</v>
      </c>
      <c r="F4" s="2" t="s">
        <v>38</v>
      </c>
      <c r="J4" t="s">
        <v>22</v>
      </c>
      <c r="K4" t="s">
        <v>23</v>
      </c>
    </row>
    <row r="5" spans="2:11" x14ac:dyDescent="0.3">
      <c r="B5" s="2">
        <v>1102</v>
      </c>
      <c r="C5" s="2" t="s">
        <v>14</v>
      </c>
      <c r="D5" s="2" t="s">
        <v>19</v>
      </c>
      <c r="E5" s="5" t="s">
        <v>13</v>
      </c>
      <c r="F5" s="10" t="s">
        <v>38</v>
      </c>
      <c r="J5" s="1" t="s">
        <v>26</v>
      </c>
      <c r="K5" t="s">
        <v>27</v>
      </c>
    </row>
    <row r="6" spans="2:11" x14ac:dyDescent="0.3">
      <c r="B6" s="2">
        <v>1103</v>
      </c>
      <c r="C6" s="2" t="s">
        <v>14</v>
      </c>
      <c r="D6" s="2" t="s">
        <v>19</v>
      </c>
      <c r="E6" s="5" t="s">
        <v>13</v>
      </c>
      <c r="F6" s="2" t="s">
        <v>38</v>
      </c>
      <c r="J6" s="1" t="s">
        <v>30</v>
      </c>
      <c r="K6" t="s">
        <v>31</v>
      </c>
    </row>
    <row r="7" spans="2:11" x14ac:dyDescent="0.3">
      <c r="B7" s="2">
        <v>1104</v>
      </c>
      <c r="C7" s="2" t="s">
        <v>14</v>
      </c>
      <c r="D7" s="2" t="s">
        <v>19</v>
      </c>
      <c r="E7" s="5" t="s">
        <v>13</v>
      </c>
      <c r="F7" s="2" t="s">
        <v>38</v>
      </c>
      <c r="J7" s="1" t="s">
        <v>32</v>
      </c>
      <c r="K7" t="s">
        <v>35</v>
      </c>
    </row>
    <row r="8" spans="2:11" x14ac:dyDescent="0.3">
      <c r="C8" s="2"/>
      <c r="F8" s="2"/>
    </row>
    <row r="9" spans="2:11" x14ac:dyDescent="0.3">
      <c r="B9">
        <v>1201</v>
      </c>
      <c r="C9" t="s">
        <v>22</v>
      </c>
      <c r="D9" s="1" t="s">
        <v>25</v>
      </c>
      <c r="E9" s="1" t="s">
        <v>24</v>
      </c>
      <c r="F9" s="2" t="s">
        <v>39</v>
      </c>
    </row>
    <row r="16" spans="2:11" x14ac:dyDescent="0.3">
      <c r="B16" s="2" t="s">
        <v>40</v>
      </c>
    </row>
    <row r="18" spans="2:4" x14ac:dyDescent="0.3">
      <c r="B18" s="8" t="s">
        <v>0</v>
      </c>
      <c r="C18" s="8" t="s">
        <v>3</v>
      </c>
      <c r="D18" s="11" t="s">
        <v>41</v>
      </c>
    </row>
    <row r="19" spans="2:4" x14ac:dyDescent="0.3">
      <c r="B19">
        <v>1301</v>
      </c>
      <c r="C19" s="1" t="s">
        <v>37</v>
      </c>
      <c r="D19" t="s">
        <v>42</v>
      </c>
    </row>
    <row r="20" spans="2:4" x14ac:dyDescent="0.3">
      <c r="B20" s="2">
        <v>1101</v>
      </c>
      <c r="C20" s="5" t="s">
        <v>13</v>
      </c>
      <c r="D20" t="s">
        <v>43</v>
      </c>
    </row>
    <row r="21" spans="2:4" x14ac:dyDescent="0.3">
      <c r="B21" s="2">
        <v>1102</v>
      </c>
      <c r="C21" s="5" t="s">
        <v>13</v>
      </c>
      <c r="D21" t="s">
        <v>44</v>
      </c>
    </row>
    <row r="22" spans="2:4" x14ac:dyDescent="0.3">
      <c r="B22" s="2">
        <v>1103</v>
      </c>
      <c r="C22" s="5" t="s">
        <v>13</v>
      </c>
      <c r="D22" t="s">
        <v>45</v>
      </c>
    </row>
    <row r="23" spans="2:4" x14ac:dyDescent="0.3">
      <c r="B23" s="2">
        <v>1104</v>
      </c>
      <c r="C23" s="5" t="s">
        <v>13</v>
      </c>
      <c r="D23" t="s">
        <v>46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8C08-7F26-4B73-949B-08FC548E7326}">
  <dimension ref="B2:F9"/>
  <sheetViews>
    <sheetView workbookViewId="0">
      <selection activeCell="B8" sqref="B8"/>
    </sheetView>
  </sheetViews>
  <sheetFormatPr baseColWidth="10" defaultRowHeight="14.4" x14ac:dyDescent="0.3"/>
  <cols>
    <col min="2" max="2" width="17.21875" bestFit="1" customWidth="1"/>
    <col min="5" max="5" width="34" bestFit="1" customWidth="1"/>
  </cols>
  <sheetData>
    <row r="2" spans="2:6" x14ac:dyDescent="0.3">
      <c r="B2" t="s">
        <v>14</v>
      </c>
      <c r="C2" t="s">
        <v>15</v>
      </c>
      <c r="E2" t="s">
        <v>16</v>
      </c>
      <c r="F2" t="s">
        <v>17</v>
      </c>
    </row>
    <row r="3" spans="2:6" x14ac:dyDescent="0.3">
      <c r="B3" t="s">
        <v>9</v>
      </c>
      <c r="C3" t="s">
        <v>18</v>
      </c>
      <c r="E3" t="s">
        <v>56</v>
      </c>
      <c r="F3" t="s">
        <v>57</v>
      </c>
    </row>
    <row r="4" spans="2:6" x14ac:dyDescent="0.3">
      <c r="B4" t="s">
        <v>22</v>
      </c>
      <c r="C4" t="s">
        <v>23</v>
      </c>
      <c r="E4" t="s">
        <v>21</v>
      </c>
      <c r="F4" t="s">
        <v>58</v>
      </c>
    </row>
    <row r="5" spans="2:6" x14ac:dyDescent="0.3">
      <c r="B5" s="1" t="s">
        <v>26</v>
      </c>
      <c r="C5" t="s">
        <v>27</v>
      </c>
    </row>
    <row r="6" spans="2:6" x14ac:dyDescent="0.3">
      <c r="B6" s="1" t="s">
        <v>30</v>
      </c>
      <c r="C6" t="s">
        <v>31</v>
      </c>
    </row>
    <row r="7" spans="2:6" x14ac:dyDescent="0.3">
      <c r="B7" s="1" t="s">
        <v>32</v>
      </c>
      <c r="C7" t="s">
        <v>35</v>
      </c>
    </row>
    <row r="8" spans="2:6" x14ac:dyDescent="0.3">
      <c r="B8" s="13" t="s">
        <v>62</v>
      </c>
      <c r="C8" t="s">
        <v>61</v>
      </c>
    </row>
    <row r="9" spans="2:6" x14ac:dyDescent="0.3">
      <c r="B9" s="1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Teile</vt:lpstr>
      <vt:lpstr>Anschlüsse</vt:lpstr>
      <vt:lpstr>Erklärung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Haentjens</dc:creator>
  <cp:lastModifiedBy>Erik van Haentjens</cp:lastModifiedBy>
  <dcterms:created xsi:type="dcterms:W3CDTF">2015-06-05T18:19:34Z</dcterms:created>
  <dcterms:modified xsi:type="dcterms:W3CDTF">2026-10-09T10:10:48Z</dcterms:modified>
</cp:coreProperties>
</file>