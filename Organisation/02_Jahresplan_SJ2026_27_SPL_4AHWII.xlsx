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okumente\Schuldateien\SPL\Handy Garage\Organisation\"/>
    </mc:Choice>
  </mc:AlternateContent>
  <xr:revisionPtr revIDLastSave="0" documentId="13_ncr:1_{DB21C77C-816D-4E6D-B07D-F938013882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Zeitplan" sheetId="5" r:id="rId1"/>
    <sheet name="Protokoll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5" l="1"/>
  <c r="F14" i="5"/>
  <c r="F5" i="5"/>
  <c r="F6" i="5"/>
  <c r="F7" i="5"/>
  <c r="F8" i="5"/>
  <c r="F9" i="5"/>
  <c r="F11" i="5"/>
  <c r="F12" i="5"/>
  <c r="F13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4" i="5"/>
  <c r="E3" i="1" a="1"/>
  <c r="E3" i="1" s="1"/>
  <c r="E4" i="1" s="1" a="1"/>
  <c r="E4" i="1" s="1"/>
  <c r="E5" i="1" s="1" a="1"/>
  <c r="E5" i="1" s="1"/>
  <c r="E6" i="1" s="1" a="1"/>
  <c r="E6" i="1" s="1"/>
  <c r="E7" i="1" s="1" a="1"/>
  <c r="E7" i="1" s="1"/>
  <c r="E8" i="1" s="1" a="1"/>
  <c r="E8" i="1" s="1"/>
  <c r="E9" i="1" s="1" a="1"/>
  <c r="E9" i="1" s="1"/>
  <c r="E10" i="1" s="1" a="1"/>
  <c r="E10" i="1" s="1"/>
  <c r="E11" i="1" s="1" a="1"/>
  <c r="E11" i="1" s="1"/>
  <c r="E12" i="1" s="1" a="1"/>
  <c r="E12" i="1" s="1"/>
  <c r="E13" i="1" s="1" a="1"/>
  <c r="E13" i="1" s="1"/>
  <c r="E14" i="1" s="1" a="1"/>
  <c r="E14" i="1" s="1"/>
  <c r="E15" i="1" s="1" a="1"/>
  <c r="E15" i="1" s="1"/>
  <c r="E16" i="1" s="1" a="1"/>
  <c r="E16" i="1" s="1"/>
  <c r="E17" i="1" s="1" a="1"/>
  <c r="E17" i="1" s="1"/>
  <c r="E18" i="1" s="1" a="1"/>
  <c r="E18" i="1" s="1"/>
  <c r="E19" i="1" s="1" a="1"/>
  <c r="E19" i="1" s="1"/>
  <c r="E20" i="1" s="1" a="1"/>
  <c r="E20" i="1" s="1"/>
  <c r="E21" i="1" s="1" a="1"/>
  <c r="E21" i="1" s="1"/>
  <c r="E22" i="1" s="1" a="1"/>
  <c r="E22" i="1" s="1"/>
  <c r="E23" i="1" s="1" a="1"/>
  <c r="E23" i="1" s="1"/>
  <c r="E24" i="1" s="1" a="1"/>
  <c r="E24" i="1" s="1"/>
  <c r="E25" i="1" s="1" a="1"/>
  <c r="E25" i="1" s="1"/>
  <c r="E26" i="1" s="1" a="1"/>
  <c r="E26" i="1" s="1"/>
  <c r="E27" i="1" s="1" a="1"/>
  <c r="E27" i="1" s="1"/>
  <c r="E28" i="1" s="1" a="1"/>
  <c r="E28" i="1" s="1"/>
  <c r="E29" i="1" s="1" a="1"/>
  <c r="E29" i="1" s="1"/>
  <c r="E30" i="1" s="1" a="1"/>
  <c r="E30" i="1" s="1"/>
  <c r="E31" i="1" s="1" a="1"/>
  <c r="E31" i="1" s="1"/>
  <c r="E32" i="1" s="1" a="1"/>
  <c r="E32" i="1" s="1"/>
  <c r="E33" i="1" s="1" a="1"/>
  <c r="E33" i="1" s="1"/>
  <c r="E34" i="1" s="1" a="1"/>
  <c r="E34" i="1" s="1"/>
  <c r="E35" i="1" s="1" a="1"/>
  <c r="E35" i="1" s="1"/>
  <c r="E36" i="1" s="1" a="1"/>
  <c r="E36" i="1" s="1"/>
  <c r="E37" i="1" s="1" a="1"/>
  <c r="E37" i="1" s="1"/>
  <c r="E38" i="1" s="1" a="1"/>
  <c r="E38" i="1" s="1"/>
  <c r="E39" i="1" s="1" a="1"/>
  <c r="E39" i="1" s="1"/>
  <c r="E40" i="1" s="1" a="1"/>
  <c r="E40" i="1" s="1"/>
  <c r="E41" i="1" s="1" a="1"/>
  <c r="E41" i="1" s="1"/>
  <c r="E42" i="1" s="1" a="1"/>
  <c r="E42" i="1" s="1"/>
  <c r="E43" i="1" s="1" a="1"/>
  <c r="E43" i="1" s="1"/>
  <c r="E44" i="1" s="1" a="1"/>
  <c r="E44" i="1" s="1"/>
  <c r="E45" i="1" s="1" a="1"/>
  <c r="E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<sst xmlns="http://schemas.openxmlformats.org/spreadsheetml/2006/main" count="186" uniqueCount="141">
  <si>
    <t>Monat</t>
  </si>
  <si>
    <t>Datum</t>
  </si>
  <si>
    <t>Meilenstein</t>
  </si>
  <si>
    <r>
      <rPr>
        <b/>
        <sz val="10"/>
        <color indexed="8"/>
        <rFont val="Helvetica Neue"/>
      </rPr>
      <t xml:space="preserve">Notizen/ Protokoll
</t>
    </r>
    <r>
      <rPr>
        <sz val="10"/>
        <color indexed="8"/>
        <rFont val="Helvetica Neue"/>
      </rPr>
      <t xml:space="preserve">(Was habe ich heute gemacht?)
</t>
    </r>
    <r>
      <rPr>
        <b/>
        <sz val="10"/>
        <color indexed="8"/>
        <rFont val="Helvetica Neue"/>
      </rPr>
      <t>LAUFENDE Dokumentation</t>
    </r>
  </si>
  <si>
    <t>Bemerkung</t>
  </si>
  <si>
    <t>SW1</t>
  </si>
  <si>
    <t>KW37</t>
  </si>
  <si>
    <t>September</t>
  </si>
  <si>
    <t>1) Projektstart: 1. Einheit SPL</t>
  </si>
  <si>
    <t>Schulstart</t>
  </si>
  <si>
    <t>SW2</t>
  </si>
  <si>
    <t>KW38</t>
  </si>
  <si>
    <t>SW3</t>
  </si>
  <si>
    <t>KW39</t>
  </si>
  <si>
    <t>SW4</t>
  </si>
  <si>
    <t>KW40</t>
  </si>
  <si>
    <t>SW5</t>
  </si>
  <si>
    <t>KW41</t>
  </si>
  <si>
    <t>Oktober</t>
  </si>
  <si>
    <t>2) Präsentation: Produktidee</t>
  </si>
  <si>
    <t>SW6</t>
  </si>
  <si>
    <t>KW42</t>
  </si>
  <si>
    <t>SW7</t>
  </si>
  <si>
    <t>KW43</t>
  </si>
  <si>
    <t>SW8</t>
  </si>
  <si>
    <t>KW44</t>
  </si>
  <si>
    <t>Herbsferien (24.10.- 02. 11.)</t>
  </si>
  <si>
    <t>SW9</t>
  </si>
  <si>
    <t>KW45</t>
  </si>
  <si>
    <t>November</t>
  </si>
  <si>
    <t>SW10</t>
  </si>
  <si>
    <t>KW46</t>
  </si>
  <si>
    <t>3) Präsentation: Übersicht aller Funktionseinheiten + mind. 1 funktionierende FE</t>
  </si>
  <si>
    <t>SW11</t>
  </si>
  <si>
    <t>KW47</t>
  </si>
  <si>
    <t>SW12</t>
  </si>
  <si>
    <t>KW48</t>
  </si>
  <si>
    <t>Tag der offenen Tür 20.-21. November)</t>
  </si>
  <si>
    <t>SW13</t>
  </si>
  <si>
    <t>KW49</t>
  </si>
  <si>
    <t>SW14</t>
  </si>
  <si>
    <t>KW50</t>
  </si>
  <si>
    <t>Dezember</t>
  </si>
  <si>
    <t>Schulautom frei + Maria Empfängnis (7.-8. Dezember</t>
  </si>
  <si>
    <t>SW15</t>
  </si>
  <si>
    <t>KW51</t>
  </si>
  <si>
    <t>Schularbeiten Nachholtermin (17. Dezember)</t>
  </si>
  <si>
    <t>SW16</t>
  </si>
  <si>
    <t>KW52</t>
  </si>
  <si>
    <t>Weihnachtsferien (23. Dezember - 10. Jänner)</t>
  </si>
  <si>
    <t>SW17</t>
  </si>
  <si>
    <t>KW53</t>
  </si>
  <si>
    <t>SW18</t>
  </si>
  <si>
    <t>KW1</t>
  </si>
  <si>
    <t>Jänner</t>
  </si>
  <si>
    <t>SW19</t>
  </si>
  <si>
    <t>KW2</t>
  </si>
  <si>
    <t>4) Abgabe: alle FE einzeln funktionsfähig</t>
  </si>
  <si>
    <t>SW20</t>
  </si>
  <si>
    <t>KW3</t>
  </si>
  <si>
    <r>
      <rPr>
        <sz val="10"/>
        <color indexed="9"/>
        <rFont val="Helvetica Neue"/>
      </rPr>
      <t xml:space="preserve">Notenschluss (21. Jänner)
</t>
    </r>
    <r>
      <rPr>
        <sz val="10"/>
        <color indexed="9"/>
        <rFont val="Helvetica Neue"/>
      </rPr>
      <t xml:space="preserve">
</t>
    </r>
    <r>
      <rPr>
        <sz val="10"/>
        <color indexed="8"/>
        <rFont val="Helvetica Neue"/>
      </rPr>
      <t>Infotag (ab 9:00; 22. Jänner)</t>
    </r>
  </si>
  <si>
    <t>SW21</t>
  </si>
  <si>
    <t>KW4</t>
  </si>
  <si>
    <t>Schulnachrichten (29. Jänner)</t>
  </si>
  <si>
    <t>SW22</t>
  </si>
  <si>
    <t>KW5</t>
  </si>
  <si>
    <t>Februar</t>
  </si>
  <si>
    <t>Semesterferien (30. Jänner - 7. Februar)</t>
  </si>
  <si>
    <t>SW23</t>
  </si>
  <si>
    <t>KW6</t>
  </si>
  <si>
    <t>5) Präsentation: Status Gesamtkonzept + Adaptierung zu weiteren Modellen</t>
  </si>
  <si>
    <t>SW24</t>
  </si>
  <si>
    <t>KW7</t>
  </si>
  <si>
    <t>SW25</t>
  </si>
  <si>
    <t>KW8</t>
  </si>
  <si>
    <t>SW26</t>
  </si>
  <si>
    <t>KW9</t>
  </si>
  <si>
    <t>März</t>
  </si>
  <si>
    <t>SW27</t>
  </si>
  <si>
    <t>KW10</t>
  </si>
  <si>
    <t>SW28</t>
  </si>
  <si>
    <t>KW11</t>
  </si>
  <si>
    <t>SW29</t>
  </si>
  <si>
    <t>KW12</t>
  </si>
  <si>
    <t>Osterferien (20.-29. März)</t>
  </si>
  <si>
    <t>SW30</t>
  </si>
  <si>
    <t>KW13</t>
  </si>
  <si>
    <t>SW31</t>
  </si>
  <si>
    <t>KW14</t>
  </si>
  <si>
    <t>April</t>
  </si>
  <si>
    <t>SW32</t>
  </si>
  <si>
    <t>KW15</t>
  </si>
  <si>
    <t>Sprachwoche 4AHWII (13.-20. April)</t>
  </si>
  <si>
    <t>SW33</t>
  </si>
  <si>
    <t>KW16</t>
  </si>
  <si>
    <t>SW34</t>
  </si>
  <si>
    <t>KW17</t>
  </si>
  <si>
    <t>6) Präsentation: Finales Produkt (gesamte Entwicklung, Grundlagen der Recherche, fertige mod. Handygarage)</t>
  </si>
  <si>
    <t>SW35</t>
  </si>
  <si>
    <t>KW18</t>
  </si>
  <si>
    <t>Mai</t>
  </si>
  <si>
    <r>
      <rPr>
        <sz val="10"/>
        <color indexed="8"/>
        <rFont val="Helvetica Neue"/>
      </rPr>
      <t>Christi Himmelfahrt (14.Mai)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Sommersportwoche (9.-14. Mai)</t>
    </r>
  </si>
  <si>
    <t>SW36</t>
  </si>
  <si>
    <t>KW19</t>
  </si>
  <si>
    <t>SW37</t>
  </si>
  <si>
    <t>KW20</t>
  </si>
  <si>
    <t>Pfingsten (17. Mai)</t>
  </si>
  <si>
    <t>SW38</t>
  </si>
  <si>
    <t>KW21</t>
  </si>
  <si>
    <r>
      <rPr>
        <sz val="10"/>
        <color indexed="8"/>
        <rFont val="Helvetica Neue"/>
      </rPr>
      <t xml:space="preserve">Notenkonferenz HTL/HAK (24. Mai)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Fronleichnahm + Schulautonomer freier Tag (27.-30. Mai)
</t>
    </r>
  </si>
  <si>
    <t>SW39</t>
  </si>
  <si>
    <t>KW22</t>
  </si>
  <si>
    <t>Abgabe: technische Dokumentation + Betriebsanleitung</t>
  </si>
  <si>
    <t>SW40</t>
  </si>
  <si>
    <t>KW23</t>
  </si>
  <si>
    <t>Juni</t>
  </si>
  <si>
    <t>SW41</t>
  </si>
  <si>
    <t>KW24</t>
  </si>
  <si>
    <r>
      <rPr>
        <sz val="10"/>
        <color indexed="8"/>
        <rFont val="Helvetica Neue"/>
      </rPr>
      <t xml:space="preserve">Schularbeiten Nachholtermin (15. Juni)
</t>
    </r>
    <r>
      <rPr>
        <sz val="10"/>
        <color indexed="8"/>
        <rFont val="Helvetica Neue"/>
      </rPr>
      <t xml:space="preserve">
</t>
    </r>
    <r>
      <rPr>
        <sz val="10"/>
        <color indexed="9"/>
        <rFont val="Helvetica Neue"/>
      </rPr>
      <t>Notenschluss (18. Juni)</t>
    </r>
  </si>
  <si>
    <t>SW42</t>
  </si>
  <si>
    <t>KW25</t>
  </si>
  <si>
    <r>
      <rPr>
        <sz val="10"/>
        <color indexed="8"/>
        <rFont val="Helvetica Neue"/>
      </rPr>
      <t>Notenkonferenz (23. Juni</t>
    </r>
  </si>
  <si>
    <t>SW43</t>
  </si>
  <si>
    <t>KW26</t>
  </si>
  <si>
    <r>
      <rPr>
        <sz val="10"/>
        <color indexed="8"/>
        <rFont val="Helvetica Neue"/>
      </rPr>
      <t xml:space="preserve">Projekttage (29. - 30. Juni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Abschlusskonferenz (1. Juli)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Zeugnis (2. Juli)</t>
    </r>
  </si>
  <si>
    <t>SW44</t>
  </si>
  <si>
    <t>KW27</t>
  </si>
  <si>
    <t>Protokolle\Protokoll 11.09.2026.docx</t>
  </si>
  <si>
    <t>1) Projektstart</t>
  </si>
  <si>
    <t>2) Produktidee</t>
  </si>
  <si>
    <t>3)Übersicht aller Funktionseinheiten</t>
  </si>
  <si>
    <t>5)Status Gesamtkonzept</t>
  </si>
  <si>
    <t>Technische Dokumentation</t>
  </si>
  <si>
    <t>Projekt Wochen</t>
  </si>
  <si>
    <t>KW</t>
  </si>
  <si>
    <t>4) Alle FE einzeln funktionsfähig</t>
  </si>
  <si>
    <t>6) Finales Produkt</t>
  </si>
  <si>
    <t>Notizen</t>
  </si>
  <si>
    <t>SPL Wochen</t>
  </si>
  <si>
    <t>Meilenstein Professor</t>
  </si>
  <si>
    <t>..\Protokolle\Protokoll 18.09.2026.docx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</si>
</sst>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d\.\ mmm\ yyyy"/>
    <numFmt numFmtId="165" formatCode="mmmm"/>
  </numFmts>
  <fonts count="5">
    <font>
      <sz val="10"/>
      <color indexed="8"/>
      <name val="Helvetica Neue"/>
    </font>
    <font>
      <b/>
      <sz val="10"/>
      <color indexed="8"/>
      <name val="Helvetica Neue"/>
    </font>
    <font>
      <sz val="10"/>
      <color indexed="9"/>
      <name val="Helvetica Neue"/>
    </font>
    <font>
      <u/>
      <sz val="10"/>
      <color theme="10"/>
      <name val="Helvetica Neue"/>
    </font>
    <font>
      <sz val="8"/>
      <name val="Helvetica Neue"/>
    </font>
  </fonts>
  <fills count="1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0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0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medium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dotted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6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4" borderId="6" xfId="0" applyNumberFormat="1" applyFont="1" applyFill="1" applyBorder="1">
      <alignment vertical="top" wrapText="1"/>
    </xf>
    <xf numFmtId="49" fontId="1" fillId="4" borderId="7" xfId="0" applyNumberFormat="1" applyFont="1" applyFill="1" applyBorder="1">
      <alignment vertical="top" wrapText="1"/>
    </xf>
    <xf numFmtId="164" fontId="0" fillId="2" borderId="8" xfId="0" applyNumberFormat="1" applyFill="1" applyBorder="1" applyAlignment="1">
      <alignment horizontal="left" vertical="top" wrapText="1"/>
    </xf>
    <xf numFmtId="49" fontId="0" fillId="5" borderId="8" xfId="0" applyNumberFormat="1" applyFill="1" applyBorder="1">
      <alignment vertical="top" wrapText="1"/>
    </xf>
    <xf numFmtId="0" fontId="0" fillId="2" borderId="8" xfId="0" applyFill="1" applyBorder="1">
      <alignment vertical="top" wrapText="1"/>
    </xf>
    <xf numFmtId="49" fontId="0" fillId="6" borderId="8" xfId="0" applyNumberFormat="1" applyFill="1" applyBorder="1">
      <alignment vertical="top" wrapText="1"/>
    </xf>
    <xf numFmtId="49" fontId="1" fillId="4" borderId="9" xfId="0" applyNumberFormat="1" applyFont="1" applyFill="1" applyBorder="1">
      <alignment vertical="top" wrapText="1"/>
    </xf>
    <xf numFmtId="49" fontId="1" fillId="4" borderId="10" xfId="0" applyNumberFormat="1" applyFont="1" applyFill="1" applyBorder="1">
      <alignment vertical="top" wrapText="1"/>
    </xf>
    <xf numFmtId="0" fontId="0" fillId="0" borderId="8" xfId="0" applyBorder="1">
      <alignment vertical="top" wrapText="1"/>
    </xf>
    <xf numFmtId="49" fontId="0" fillId="7" borderId="8" xfId="0" applyNumberFormat="1" applyFill="1" applyBorder="1">
      <alignment vertical="top" wrapText="1"/>
    </xf>
    <xf numFmtId="49" fontId="0" fillId="8" borderId="8" xfId="0" applyNumberFormat="1" applyFill="1" applyBorder="1">
      <alignment vertical="top" wrapText="1"/>
    </xf>
    <xf numFmtId="49" fontId="0" fillId="0" borderId="8" xfId="0" applyNumberFormat="1" applyBorder="1">
      <alignment vertical="top" wrapText="1"/>
    </xf>
    <xf numFmtId="49" fontId="1" fillId="4" borderId="11" xfId="0" applyNumberFormat="1" applyFont="1" applyFill="1" applyBorder="1">
      <alignment vertical="top" wrapText="1"/>
    </xf>
    <xf numFmtId="49" fontId="1" fillId="4" borderId="12" xfId="0" applyNumberFormat="1" applyFont="1" applyFill="1" applyBorder="1">
      <alignment vertical="top" wrapText="1"/>
    </xf>
    <xf numFmtId="49" fontId="1" fillId="4" borderId="13" xfId="0" applyNumberFormat="1" applyFont="1" applyFill="1" applyBorder="1">
      <alignment vertical="top" wrapText="1"/>
    </xf>
    <xf numFmtId="49" fontId="1" fillId="4" borderId="14" xfId="0" applyNumberFormat="1" applyFont="1" applyFill="1" applyBorder="1">
      <alignment vertical="top" wrapText="1"/>
    </xf>
    <xf numFmtId="164" fontId="0" fillId="2" borderId="15" xfId="0" applyNumberFormat="1" applyFill="1" applyBorder="1" applyAlignment="1">
      <alignment horizontal="left" vertical="top" wrapText="1"/>
    </xf>
    <xf numFmtId="0" fontId="0" fillId="2" borderId="15" xfId="0" applyFill="1" applyBorder="1">
      <alignment vertical="top" wrapText="1"/>
    </xf>
    <xf numFmtId="49" fontId="2" fillId="0" borderId="15" xfId="0" applyNumberFormat="1" applyFont="1" applyBorder="1">
      <alignment vertical="top" wrapText="1"/>
    </xf>
    <xf numFmtId="164" fontId="0" fillId="2" borderId="16" xfId="0" applyNumberFormat="1" applyFill="1" applyBorder="1" applyAlignment="1">
      <alignment horizontal="left" vertical="top" wrapText="1"/>
    </xf>
    <xf numFmtId="0" fontId="0" fillId="2" borderId="16" xfId="0" applyFill="1" applyBorder="1">
      <alignment vertical="top" wrapText="1"/>
    </xf>
    <xf numFmtId="49" fontId="0" fillId="8" borderId="16" xfId="0" applyNumberFormat="1" applyFill="1" applyBorder="1">
      <alignment vertical="top" wrapText="1"/>
    </xf>
    <xf numFmtId="49" fontId="1" fillId="4" borderId="17" xfId="0" applyNumberFormat="1" applyFont="1" applyFill="1" applyBorder="1">
      <alignment vertical="top" wrapText="1"/>
    </xf>
    <xf numFmtId="49" fontId="1" fillId="4" borderId="18" xfId="0" applyNumberFormat="1" applyFont="1" applyFill="1" applyBorder="1">
      <alignment vertical="top" wrapText="1"/>
    </xf>
    <xf numFmtId="49" fontId="1" fillId="4" borderId="19" xfId="0" applyNumberFormat="1" applyFont="1" applyFill="1" applyBorder="1">
      <alignment vertical="top" wrapText="1"/>
    </xf>
    <xf numFmtId="49" fontId="1" fillId="4" borderId="20" xfId="0" applyNumberFormat="1" applyFont="1" applyFill="1" applyBorder="1">
      <alignment vertical="top" wrapText="1"/>
    </xf>
    <xf numFmtId="49" fontId="0" fillId="5" borderId="8" xfId="0" applyNumberFormat="1" applyFill="1" applyBorder="1" applyAlignment="1">
      <alignment horizontal="left" vertical="top" wrapText="1"/>
    </xf>
    <xf numFmtId="164" fontId="0" fillId="2" borderId="21" xfId="0" applyNumberFormat="1" applyFill="1" applyBorder="1" applyAlignment="1">
      <alignment horizontal="left" vertical="top" wrapText="1"/>
    </xf>
    <xf numFmtId="0" fontId="0" fillId="2" borderId="21" xfId="0" applyFill="1" applyBorder="1">
      <alignment vertical="top" wrapText="1"/>
    </xf>
    <xf numFmtId="49" fontId="0" fillId="7" borderId="21" xfId="0" applyNumberFormat="1" applyFill="1" applyBorder="1">
      <alignment vertical="top" wrapText="1"/>
    </xf>
    <xf numFmtId="164" fontId="0" fillId="2" borderId="22" xfId="0" applyNumberFormat="1" applyFill="1" applyBorder="1" applyAlignment="1">
      <alignment horizontal="left" vertical="top" wrapText="1"/>
    </xf>
    <xf numFmtId="0" fontId="0" fillId="2" borderId="23" xfId="0" applyFill="1" applyBorder="1">
      <alignment vertical="top" wrapText="1"/>
    </xf>
    <xf numFmtId="0" fontId="0" fillId="2" borderId="24" xfId="0" applyFill="1" applyBorder="1">
      <alignment vertical="top" wrapText="1"/>
    </xf>
    <xf numFmtId="49" fontId="0" fillId="0" borderId="22" xfId="0" applyNumberFormat="1" applyBorder="1">
      <alignment vertical="top" wrapText="1"/>
    </xf>
    <xf numFmtId="49" fontId="0" fillId="0" borderId="15" xfId="0" applyNumberFormat="1" applyBorder="1">
      <alignment vertical="top" wrapText="1"/>
    </xf>
    <xf numFmtId="0" fontId="2" fillId="2" borderId="16" xfId="0" applyFont="1" applyFill="1" applyBorder="1">
      <alignment vertical="top" wrapText="1"/>
    </xf>
    <xf numFmtId="49" fontId="0" fillId="0" borderId="16" xfId="0" applyNumberFormat="1" applyBorder="1">
      <alignment vertical="top" wrapText="1"/>
    </xf>
    <xf numFmtId="49" fontId="0" fillId="0" borderId="25" xfId="0" applyNumberFormat="1" applyBorder="1">
      <alignment vertical="top" wrapText="1"/>
    </xf>
    <xf numFmtId="165" fontId="0" fillId="0" borderId="8" xfId="0" applyNumberFormat="1" applyBorder="1">
      <alignment vertical="top" wrapText="1"/>
    </xf>
    <xf numFmtId="0" fontId="3" fillId="2" borderId="8" xfId="1" applyFill="1" applyBorder="1">
      <alignment vertical="top" wrapText="1"/>
    </xf>
    <xf numFmtId="0" fontId="0" fillId="0" borderId="26" xfId="0" applyBorder="1">
      <alignment vertical="top" wrapText="1"/>
    </xf>
    <xf numFmtId="49" fontId="1" fillId="4" borderId="26" xfId="0" applyNumberFormat="1" applyFont="1" applyFill="1" applyBorder="1">
      <alignment vertical="top" wrapText="1"/>
    </xf>
    <xf numFmtId="49" fontId="1" fillId="0" borderId="26" xfId="0" applyNumberFormat="1" applyFont="1" applyBorder="1" applyAlignment="1">
      <alignment horizontal="center" vertical="center" wrapText="1"/>
    </xf>
    <xf numFmtId="164" fontId="0" fillId="2" borderId="26" xfId="0" applyNumberFormat="1" applyFill="1" applyBorder="1" applyAlignment="1">
      <alignment horizontal="left" vertical="top" wrapText="1"/>
    </xf>
    <xf numFmtId="49" fontId="0" fillId="5" borderId="26" xfId="0" applyNumberFormat="1" applyFill="1" applyBorder="1">
      <alignment vertical="top" wrapText="1"/>
    </xf>
    <xf numFmtId="0" fontId="3" fillId="2" borderId="26" xfId="1" applyFill="1" applyBorder="1">
      <alignment vertical="top" wrapText="1"/>
    </xf>
    <xf numFmtId="49" fontId="0" fillId="10" borderId="26" xfId="0" applyNumberFormat="1" applyFill="1" applyBorder="1">
      <alignment vertical="top" wrapText="1"/>
    </xf>
    <xf numFmtId="0" fontId="0" fillId="2" borderId="26" xfId="0" applyFill="1" applyBorder="1">
      <alignment vertical="top" wrapText="1"/>
    </xf>
    <xf numFmtId="0" fontId="0" fillId="10" borderId="26" xfId="0" applyFill="1" applyBorder="1">
      <alignment vertical="top" wrapText="1"/>
    </xf>
    <xf numFmtId="49" fontId="2" fillId="10" borderId="26" xfId="0" applyNumberFormat="1" applyFont="1" applyFill="1" applyBorder="1">
      <alignment vertical="top" wrapText="1"/>
    </xf>
    <xf numFmtId="49" fontId="0" fillId="5" borderId="26" xfId="0" applyNumberFormat="1" applyFill="1" applyBorder="1" applyAlignment="1">
      <alignment horizontal="left" vertical="top" wrapText="1"/>
    </xf>
    <xf numFmtId="0" fontId="1" fillId="9" borderId="26" xfId="0" applyFont="1" applyFill="1" applyBorder="1" applyAlignment="1">
      <alignment horizontal="center" vertical="center" wrapText="1"/>
    </xf>
    <xf numFmtId="1" fontId="1" fillId="4" borderId="26" xfId="0" applyNumberFormat="1" applyFont="1" applyFill="1" applyBorder="1">
      <alignment vertical="top" wrapText="1"/>
    </xf>
    <xf numFmtId="0" fontId="1" fillId="11" borderId="26" xfId="0" applyFont="1" applyFill="1" applyBorder="1">
      <alignment vertical="top" wrapText="1"/>
    </xf>
    <xf numFmtId="49" fontId="1" fillId="9" borderId="26" xfId="0" applyNumberFormat="1" applyFont="1" applyFill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top" wrapText="1"/>
    </xf>
    <xf numFmtId="49" fontId="1" fillId="0" borderId="8" xfId="0" applyNumberFormat="1" applyFont="1" applyBorder="1" applyAlignment="1">
      <alignment horizontal="center" vertical="center" wrapText="1"/>
    </xf>
    <xf numFmtId="0" fontId="0" fillId="0" borderId="8" xfId="0" applyBorder="1">
      <alignment vertical="top" wrapText="1"/>
    </xf>
    <xf numFmtId="49" fontId="1" fillId="0" borderId="8" xfId="0" applyNumberFormat="1" applyFont="1" applyBorder="1" applyAlignment="1">
      <alignment horizontal="center" vertical="top" wrapText="1"/>
    </xf>
  </cellXfs>
  <cellStyles count="2">
    <cellStyle name="Link" xfId="1" builtinId="8"/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3F3F3F"/>
      <rgbColor rgb="FF1CB000"/>
      <rgbColor rgb="FFDBDBDB"/>
      <rgbColor rgb="FFA5A5A5"/>
      <rgbColor rgb="FFF27100"/>
      <rgbColor rgb="FFFFD931"/>
      <rgbColor rgb="FF56C1FE"/>
      <rgbColor rgb="FF72FCE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..\Protokolle\Protokoll%2018.09.2026.docx" TargetMode="External"/><Relationship Id="rId1" Type="http://schemas.openxmlformats.org/officeDocument/2006/relationships/hyperlink" Target="Protokolle\Protokoll%2011.09.2026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0EE35-C06D-4973-84FF-C57664B42531}">
  <dimension ref="B2:I32"/>
  <sheetViews>
    <sheetView workbookViewId="0">
      <selection activeCell="J8" sqref="J8"/>
    </sheetView>
  </sheetViews>
  <sheetFormatPr baseColWidth="10" defaultRowHeight="13.2"/>
  <cols>
    <col min="2" max="2" width="15" bestFit="1" customWidth="1"/>
    <col min="3" max="3" width="12.33203125" bestFit="1" customWidth="1"/>
    <col min="6" max="6" width="14.77734375" bestFit="1" customWidth="1"/>
    <col min="7" max="7" width="30.21875" bestFit="1" customWidth="1"/>
  </cols>
  <sheetData>
    <row r="2" spans="2:9" ht="18.600000000000001" customHeight="1">
      <c r="B2" s="58" t="s">
        <v>133</v>
      </c>
      <c r="C2" s="58" t="s">
        <v>138</v>
      </c>
      <c r="D2" s="58" t="s">
        <v>134</v>
      </c>
      <c r="E2" s="61" t="s">
        <v>0</v>
      </c>
      <c r="F2" s="61" t="s">
        <v>1</v>
      </c>
      <c r="G2" s="61" t="s">
        <v>139</v>
      </c>
      <c r="H2" s="61" t="s">
        <v>137</v>
      </c>
      <c r="I2" s="61" t="s">
        <v>4</v>
      </c>
    </row>
    <row r="3" spans="2:9">
      <c r="B3" s="60">
        <v>1</v>
      </c>
      <c r="C3" s="59">
        <v>1</v>
      </c>
      <c r="D3" s="48" t="s">
        <v>6</v>
      </c>
      <c r="E3" s="62" t="s">
        <v>7</v>
      </c>
      <c r="F3" s="50">
        <v>46276</v>
      </c>
      <c r="G3" s="51" t="s">
        <v>128</v>
      </c>
      <c r="H3" s="52"/>
      <c r="I3" s="53"/>
    </row>
    <row r="4" spans="2:9">
      <c r="B4" s="60">
        <v>2</v>
      </c>
      <c r="C4" s="59">
        <v>2</v>
      </c>
      <c r="D4" s="48" t="s">
        <v>11</v>
      </c>
      <c r="E4" s="62"/>
      <c r="F4" s="50">
        <f t="shared" ref="F4:F32" si="0">$F$3+(C4-1)*7</f>
        <v>46283</v>
      </c>
      <c r="G4" s="54"/>
      <c r="H4" s="54"/>
      <c r="I4" s="55"/>
    </row>
    <row r="5" spans="2:9">
      <c r="B5" s="60">
        <v>3</v>
      </c>
      <c r="C5" s="59">
        <v>3</v>
      </c>
      <c r="D5" s="48" t="s">
        <v>13</v>
      </c>
      <c r="E5" s="62"/>
      <c r="F5" s="50">
        <f t="shared" si="0"/>
        <v>46290</v>
      </c>
      <c r="G5" s="54"/>
      <c r="H5" s="54"/>
      <c r="I5" s="55"/>
    </row>
    <row r="6" spans="2:9">
      <c r="B6" s="60">
        <v>4</v>
      </c>
      <c r="C6" s="59">
        <v>4</v>
      </c>
      <c r="D6" s="48" t="s">
        <v>15</v>
      </c>
      <c r="E6" s="62" t="s">
        <v>18</v>
      </c>
      <c r="F6" s="50">
        <f t="shared" si="0"/>
        <v>46297</v>
      </c>
      <c r="G6" s="54"/>
      <c r="H6" s="54"/>
      <c r="I6" s="55"/>
    </row>
    <row r="7" spans="2:9">
      <c r="B7" s="60">
        <v>5</v>
      </c>
      <c r="C7" s="59">
        <v>5</v>
      </c>
      <c r="D7" s="48" t="s">
        <v>17</v>
      </c>
      <c r="E7" s="62"/>
      <c r="F7" s="50">
        <f t="shared" si="0"/>
        <v>46304</v>
      </c>
      <c r="G7" s="51" t="s">
        <v>129</v>
      </c>
      <c r="H7" s="54"/>
      <c r="I7" s="55"/>
    </row>
    <row r="8" spans="2:9">
      <c r="B8" s="60">
        <v>6</v>
      </c>
      <c r="C8" s="59">
        <v>6</v>
      </c>
      <c r="D8" s="48" t="s">
        <v>21</v>
      </c>
      <c r="E8" s="62"/>
      <c r="F8" s="50">
        <f t="shared" si="0"/>
        <v>46311</v>
      </c>
      <c r="G8" s="54"/>
      <c r="H8" s="54"/>
      <c r="I8" s="55"/>
    </row>
    <row r="9" spans="2:9">
      <c r="B9" s="60">
        <v>7</v>
      </c>
      <c r="C9" s="59">
        <v>7</v>
      </c>
      <c r="D9" s="48" t="s">
        <v>23</v>
      </c>
      <c r="E9" s="62"/>
      <c r="F9" s="50">
        <f t="shared" si="0"/>
        <v>46318</v>
      </c>
      <c r="G9" s="54"/>
      <c r="H9" s="54"/>
      <c r="I9" s="55"/>
    </row>
    <row r="10" spans="2:9">
      <c r="B10" s="60">
        <v>8</v>
      </c>
      <c r="C10" s="59">
        <v>9</v>
      </c>
      <c r="D10" s="48" t="s">
        <v>28</v>
      </c>
      <c r="E10" s="62" t="s">
        <v>29</v>
      </c>
      <c r="F10" s="50">
        <f t="shared" si="0"/>
        <v>46332</v>
      </c>
      <c r="G10" s="54"/>
      <c r="H10" s="54"/>
      <c r="I10" s="53"/>
    </row>
    <row r="11" spans="2:9">
      <c r="B11" s="60">
        <v>9</v>
      </c>
      <c r="C11" s="59">
        <v>10</v>
      </c>
      <c r="D11" s="48" t="s">
        <v>31</v>
      </c>
      <c r="E11" s="62"/>
      <c r="F11" s="50">
        <f t="shared" si="0"/>
        <v>46339</v>
      </c>
      <c r="G11" s="51" t="s">
        <v>130</v>
      </c>
      <c r="H11" s="54"/>
      <c r="I11" s="55"/>
    </row>
    <row r="12" spans="2:9">
      <c r="B12" s="60">
        <v>10</v>
      </c>
      <c r="C12" s="59">
        <v>11</v>
      </c>
      <c r="D12" s="48" t="s">
        <v>34</v>
      </c>
      <c r="E12" s="62"/>
      <c r="F12" s="50">
        <f t="shared" si="0"/>
        <v>46346</v>
      </c>
      <c r="G12" s="47"/>
      <c r="H12" s="54"/>
      <c r="I12" s="55"/>
    </row>
    <row r="13" spans="2:9">
      <c r="B13" s="60">
        <v>11</v>
      </c>
      <c r="C13" s="59">
        <v>13</v>
      </c>
      <c r="D13" s="48" t="s">
        <v>39</v>
      </c>
      <c r="E13" s="62" t="s">
        <v>42</v>
      </c>
      <c r="F13" s="50">
        <f t="shared" si="0"/>
        <v>46360</v>
      </c>
      <c r="G13" s="54"/>
      <c r="H13" s="54"/>
      <c r="I13" s="55"/>
    </row>
    <row r="14" spans="2:9">
      <c r="B14" s="60">
        <v>12</v>
      </c>
      <c r="C14" s="59">
        <v>14</v>
      </c>
      <c r="D14" s="48" t="s">
        <v>41</v>
      </c>
      <c r="E14" s="62"/>
      <c r="F14" s="50">
        <f t="shared" si="0"/>
        <v>46367</v>
      </c>
      <c r="G14" s="54"/>
      <c r="H14" s="54"/>
      <c r="I14" s="53"/>
    </row>
    <row r="15" spans="2:9">
      <c r="B15" s="60">
        <v>13</v>
      </c>
      <c r="C15" s="59">
        <v>15</v>
      </c>
      <c r="D15" s="48" t="s">
        <v>45</v>
      </c>
      <c r="E15" s="62"/>
      <c r="F15" s="50">
        <f t="shared" si="0"/>
        <v>46374</v>
      </c>
      <c r="G15" s="54"/>
      <c r="H15" s="54"/>
      <c r="I15" s="53"/>
    </row>
    <row r="16" spans="2:9">
      <c r="B16" s="60">
        <v>14</v>
      </c>
      <c r="C16" s="59">
        <v>19</v>
      </c>
      <c r="D16" s="48" t="s">
        <v>56</v>
      </c>
      <c r="E16" s="62"/>
      <c r="F16" s="50">
        <f t="shared" si="0"/>
        <v>46402</v>
      </c>
      <c r="G16" s="51" t="s">
        <v>135</v>
      </c>
      <c r="H16" s="54"/>
      <c r="I16" s="55"/>
    </row>
    <row r="17" spans="2:9">
      <c r="B17" s="60">
        <v>15</v>
      </c>
      <c r="C17" s="59">
        <v>20</v>
      </c>
      <c r="D17" s="48" t="s">
        <v>59</v>
      </c>
      <c r="E17" s="62"/>
      <c r="F17" s="50">
        <f t="shared" si="0"/>
        <v>46409</v>
      </c>
      <c r="G17" s="54"/>
      <c r="H17" s="54"/>
      <c r="I17" s="56"/>
    </row>
    <row r="18" spans="2:9">
      <c r="B18" s="60">
        <v>16</v>
      </c>
      <c r="C18" s="59">
        <v>21</v>
      </c>
      <c r="D18" s="48" t="s">
        <v>62</v>
      </c>
      <c r="E18" s="62"/>
      <c r="F18" s="50">
        <f t="shared" si="0"/>
        <v>46416</v>
      </c>
      <c r="G18" s="54"/>
      <c r="H18" s="54"/>
      <c r="I18" s="53"/>
    </row>
    <row r="19" spans="2:9">
      <c r="B19" s="60">
        <v>17</v>
      </c>
      <c r="C19" s="59">
        <v>23</v>
      </c>
      <c r="D19" s="48" t="s">
        <v>69</v>
      </c>
      <c r="E19" s="63"/>
      <c r="F19" s="50">
        <f t="shared" si="0"/>
        <v>46430</v>
      </c>
      <c r="G19" s="57" t="s">
        <v>131</v>
      </c>
      <c r="H19" s="54"/>
      <c r="I19" s="55"/>
    </row>
    <row r="20" spans="2:9">
      <c r="B20" s="60">
        <v>18</v>
      </c>
      <c r="C20" s="59">
        <v>24</v>
      </c>
      <c r="D20" s="48" t="s">
        <v>72</v>
      </c>
      <c r="E20" s="63"/>
      <c r="F20" s="50">
        <f t="shared" si="0"/>
        <v>46437</v>
      </c>
      <c r="G20" s="54"/>
      <c r="H20" s="54"/>
      <c r="I20" s="55"/>
    </row>
    <row r="21" spans="2:9">
      <c r="B21" s="60">
        <v>19</v>
      </c>
      <c r="C21" s="59">
        <v>25</v>
      </c>
      <c r="D21" s="48" t="s">
        <v>74</v>
      </c>
      <c r="E21" s="63"/>
      <c r="F21" s="50">
        <f t="shared" si="0"/>
        <v>46444</v>
      </c>
      <c r="G21" s="54"/>
      <c r="H21" s="54"/>
      <c r="I21" s="55"/>
    </row>
    <row r="22" spans="2:9">
      <c r="B22" s="60">
        <v>20</v>
      </c>
      <c r="C22" s="59">
        <v>26</v>
      </c>
      <c r="D22" s="48" t="s">
        <v>76</v>
      </c>
      <c r="E22" s="62" t="s">
        <v>77</v>
      </c>
      <c r="F22" s="50">
        <f t="shared" si="0"/>
        <v>46451</v>
      </c>
      <c r="G22" s="54"/>
      <c r="H22" s="54"/>
      <c r="I22" s="55"/>
    </row>
    <row r="23" spans="2:9">
      <c r="B23" s="60">
        <v>21</v>
      </c>
      <c r="C23" s="59">
        <v>27</v>
      </c>
      <c r="D23" s="48" t="s">
        <v>79</v>
      </c>
      <c r="E23" s="62"/>
      <c r="F23" s="50">
        <f t="shared" si="0"/>
        <v>46458</v>
      </c>
      <c r="G23" s="54"/>
      <c r="H23" s="54"/>
      <c r="I23" s="55"/>
    </row>
    <row r="24" spans="2:9">
      <c r="B24" s="60">
        <v>22</v>
      </c>
      <c r="C24" s="59">
        <v>28</v>
      </c>
      <c r="D24" s="48" t="s">
        <v>81</v>
      </c>
      <c r="E24" s="62"/>
      <c r="F24" s="50">
        <f t="shared" si="0"/>
        <v>46465</v>
      </c>
      <c r="G24" s="54"/>
      <c r="H24" s="54"/>
      <c r="I24" s="55"/>
    </row>
    <row r="25" spans="2:9">
      <c r="B25" s="60">
        <v>23</v>
      </c>
      <c r="C25" s="59">
        <v>30</v>
      </c>
      <c r="D25" s="48" t="s">
        <v>86</v>
      </c>
      <c r="E25" s="62" t="s">
        <v>89</v>
      </c>
      <c r="F25" s="50">
        <f t="shared" si="0"/>
        <v>46479</v>
      </c>
      <c r="G25" s="54"/>
      <c r="H25" s="54"/>
      <c r="I25" s="53"/>
    </row>
    <row r="26" spans="2:9">
      <c r="B26" s="60">
        <v>24</v>
      </c>
      <c r="C26" s="59">
        <v>31</v>
      </c>
      <c r="D26" s="48" t="s">
        <v>88</v>
      </c>
      <c r="E26" s="62"/>
      <c r="F26" s="50">
        <f t="shared" si="0"/>
        <v>46486</v>
      </c>
      <c r="G26" s="54"/>
      <c r="H26" s="54"/>
      <c r="I26" s="55"/>
    </row>
    <row r="27" spans="2:9">
      <c r="B27" s="60">
        <v>25</v>
      </c>
      <c r="C27" s="59">
        <v>33</v>
      </c>
      <c r="D27" s="48" t="s">
        <v>94</v>
      </c>
      <c r="E27" s="62"/>
      <c r="F27" s="50">
        <f t="shared" si="0"/>
        <v>46500</v>
      </c>
      <c r="G27" s="54"/>
      <c r="H27" s="54"/>
      <c r="I27" s="55"/>
    </row>
    <row r="28" spans="2:9">
      <c r="B28" s="60">
        <v>26</v>
      </c>
      <c r="C28" s="59">
        <v>34</v>
      </c>
      <c r="D28" s="48" t="s">
        <v>96</v>
      </c>
      <c r="E28" s="62"/>
      <c r="F28" s="50">
        <f t="shared" si="0"/>
        <v>46507</v>
      </c>
      <c r="G28" s="51" t="s">
        <v>136</v>
      </c>
      <c r="H28" s="54"/>
      <c r="I28" s="55"/>
    </row>
    <row r="29" spans="2:9">
      <c r="B29" s="60">
        <v>27</v>
      </c>
      <c r="C29" s="59">
        <v>35</v>
      </c>
      <c r="D29" s="48" t="s">
        <v>99</v>
      </c>
      <c r="E29" s="62" t="s">
        <v>100</v>
      </c>
      <c r="F29" s="50">
        <f t="shared" si="0"/>
        <v>46514</v>
      </c>
      <c r="G29" s="54"/>
      <c r="H29" s="54"/>
      <c r="I29" s="53"/>
    </row>
    <row r="30" spans="2:9">
      <c r="B30" s="60">
        <v>28</v>
      </c>
      <c r="C30" s="59">
        <v>36</v>
      </c>
      <c r="D30" s="48" t="s">
        <v>103</v>
      </c>
      <c r="E30" s="62"/>
      <c r="F30" s="50">
        <f t="shared" si="0"/>
        <v>46521</v>
      </c>
      <c r="G30" s="54"/>
      <c r="H30" s="54"/>
      <c r="I30" s="55"/>
    </row>
    <row r="31" spans="2:9">
      <c r="B31" s="60">
        <v>29</v>
      </c>
      <c r="C31" s="59">
        <v>37</v>
      </c>
      <c r="D31" s="48" t="s">
        <v>105</v>
      </c>
      <c r="E31" s="62"/>
      <c r="F31" s="50">
        <f t="shared" si="0"/>
        <v>46528</v>
      </c>
      <c r="G31" s="54"/>
      <c r="H31" s="54"/>
      <c r="I31" s="53"/>
    </row>
    <row r="32" spans="2:9">
      <c r="B32" s="60">
        <v>30</v>
      </c>
      <c r="C32" s="59">
        <v>39</v>
      </c>
      <c r="D32" s="48" t="s">
        <v>111</v>
      </c>
      <c r="E32" s="49" t="s">
        <v>115</v>
      </c>
      <c r="F32" s="50">
        <f t="shared" si="0"/>
        <v>46542</v>
      </c>
      <c r="G32" s="57" t="s">
        <v>132</v>
      </c>
      <c r="H32" s="54"/>
      <c r="I32" s="55"/>
    </row>
  </sheetData>
  <mergeCells count="9">
    <mergeCell ref="E25:E28"/>
    <mergeCell ref="E29:E31"/>
    <mergeCell ref="E3:E5"/>
    <mergeCell ref="E6:E9"/>
    <mergeCell ref="E10:E12"/>
    <mergeCell ref="E13:E15"/>
    <mergeCell ref="E16:E18"/>
    <mergeCell ref="E22:E24"/>
    <mergeCell ref="E19:E21"/>
  </mergeCells>
  <phoneticPr fontId="4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45"/>
  <sheetViews>
    <sheetView showGridLines="0" tabSelected="1" workbookViewId="0">
      <pane xSplit="3" ySplit="1" topLeftCell="F2" activePane="bottomRight" state="frozen"/>
      <selection pane="topRight"/>
      <selection pane="bottomLeft"/>
      <selection pane="bottomRight" activeCell="G3" sqref="G3"/>
    </sheetView>
  </sheetViews>
  <sheetFormatPr baseColWidth="10" defaultColWidth="16.33203125" defaultRowHeight="19.95" customHeight="1"/>
  <cols>
    <col min="1" max="1" width="10.77734375" style="1" customWidth="1"/>
    <col min="2" max="2" width="6.109375" style="1" customWidth="1"/>
    <col min="3" max="3" width="6.33203125" style="1" customWidth="1"/>
    <col min="4" max="4" width="10.44140625" style="1" bestFit="1" customWidth="1"/>
    <col min="5" max="5" width="16" style="1" customWidth="1"/>
    <col min="6" max="6" width="37.33203125" style="1" customWidth="1"/>
    <col min="7" max="7" width="32.44140625" style="1" bestFit="1" customWidth="1"/>
    <col min="8" max="8" width="43.109375" style="1" customWidth="1"/>
    <col min="9" max="9" width="16.33203125" style="1" customWidth="1"/>
    <col min="10" max="16384" width="16.33203125" style="1"/>
  </cols>
  <sheetData>
    <row r="1" spans="2:8" ht="44.7" customHeight="1">
      <c r="B1" s="2"/>
      <c r="C1" s="3"/>
      <c r="D1" s="4" t="s">
        <v>0</v>
      </c>
      <c r="E1" s="5" t="s">
        <v>1</v>
      </c>
      <c r="F1" s="5" t="s">
        <v>2</v>
      </c>
      <c r="G1" s="5" t="s">
        <v>3</v>
      </c>
      <c r="H1" s="6" t="s">
        <v>4</v>
      </c>
    </row>
    <row r="2" spans="2:8" ht="20.7" customHeight="1">
      <c r="B2" s="7" t="s">
        <v>5</v>
      </c>
      <c r="C2" s="8" t="s">
        <v>6</v>
      </c>
      <c r="D2" s="64" t="s">
        <v>7</v>
      </c>
      <c r="E2" s="9">
        <v>46276</v>
      </c>
      <c r="F2" s="10" t="s">
        <v>8</v>
      </c>
      <c r="G2" s="46" t="s">
        <v>127</v>
      </c>
      <c r="H2" s="12" t="s">
        <v>9</v>
      </c>
    </row>
    <row r="3" spans="2:8" ht="20.7" customHeight="1">
      <c r="B3" s="13" t="s">
        <v>10</v>
      </c>
      <c r="C3" s="14" t="s">
        <v>11</v>
      </c>
      <c r="D3" s="65"/>
      <c r="E3" s="9" cm="1">
        <f t="array" ref="E3">E2+7</f>
        <v>46283</v>
      </c>
      <c r="F3" s="11"/>
      <c r="G3" s="46" t="s">
        <v>140</v>
      </c>
      <c r="H3" s="15"/>
    </row>
    <row r="4" spans="2:8" ht="20.7" customHeight="1">
      <c r="B4" s="13" t="s">
        <v>12</v>
      </c>
      <c r="C4" s="14" t="s">
        <v>13</v>
      </c>
      <c r="D4" s="65"/>
      <c r="E4" s="9" cm="1">
        <f t="array" ref="E4">E3+7</f>
        <v>46290</v>
      </c>
      <c r="F4" s="11"/>
      <c r="G4" s="11"/>
      <c r="H4" s="15"/>
    </row>
    <row r="5" spans="2:8" ht="20.7" customHeight="1">
      <c r="B5" s="13" t="s">
        <v>14</v>
      </c>
      <c r="C5" s="14" t="s">
        <v>15</v>
      </c>
      <c r="D5" s="65"/>
      <c r="E5" s="9" cm="1">
        <f t="array" ref="E5">E4+7</f>
        <v>46297</v>
      </c>
      <c r="F5" s="11"/>
      <c r="G5" s="11"/>
      <c r="H5" s="15"/>
    </row>
    <row r="6" spans="2:8" ht="20.7" customHeight="1">
      <c r="B6" s="13" t="s">
        <v>16</v>
      </c>
      <c r="C6" s="14" t="s">
        <v>17</v>
      </c>
      <c r="D6" s="64" t="s">
        <v>18</v>
      </c>
      <c r="E6" s="9" cm="1">
        <f t="array" ref="E6">E5+7</f>
        <v>46304</v>
      </c>
      <c r="F6" s="10" t="s">
        <v>19</v>
      </c>
      <c r="G6" s="11"/>
      <c r="H6" s="15"/>
    </row>
    <row r="7" spans="2:8" ht="20.7" customHeight="1">
      <c r="B7" s="13" t="s">
        <v>20</v>
      </c>
      <c r="C7" s="14" t="s">
        <v>21</v>
      </c>
      <c r="D7" s="65"/>
      <c r="E7" s="9" cm="1">
        <f t="array" ref="E7">E6+7</f>
        <v>46311</v>
      </c>
      <c r="F7" s="11"/>
      <c r="G7" s="11"/>
      <c r="H7" s="15"/>
    </row>
    <row r="8" spans="2:8" ht="20.7" customHeight="1">
      <c r="B8" s="13" t="s">
        <v>22</v>
      </c>
      <c r="C8" s="14" t="s">
        <v>23</v>
      </c>
      <c r="D8" s="65"/>
      <c r="E8" s="9" cm="1">
        <f t="array" ref="E8">E7+7</f>
        <v>46318</v>
      </c>
      <c r="F8" s="11"/>
      <c r="G8" s="11"/>
      <c r="H8" s="15"/>
    </row>
    <row r="9" spans="2:8" ht="20.7" customHeight="1">
      <c r="B9" s="13" t="s">
        <v>24</v>
      </c>
      <c r="C9" s="14" t="s">
        <v>25</v>
      </c>
      <c r="D9" s="65"/>
      <c r="E9" s="9" cm="1">
        <f t="array" ref="E9">E8+7</f>
        <v>46325</v>
      </c>
      <c r="F9" s="11"/>
      <c r="G9" s="11"/>
      <c r="H9" s="16" t="s">
        <v>26</v>
      </c>
    </row>
    <row r="10" spans="2:8" ht="20.7" customHeight="1">
      <c r="B10" s="13" t="s">
        <v>27</v>
      </c>
      <c r="C10" s="14" t="s">
        <v>28</v>
      </c>
      <c r="D10" s="64" t="s">
        <v>29</v>
      </c>
      <c r="E10" s="9" cm="1">
        <f t="array" ref="E10">E9+7</f>
        <v>46332</v>
      </c>
      <c r="F10" s="11"/>
      <c r="G10" s="11"/>
      <c r="H10" s="16" t="s">
        <v>26</v>
      </c>
    </row>
    <row r="11" spans="2:8" ht="44.7" customHeight="1">
      <c r="B11" s="13" t="s">
        <v>30</v>
      </c>
      <c r="C11" s="14" t="s">
        <v>31</v>
      </c>
      <c r="D11" s="65"/>
      <c r="E11" s="9" cm="1">
        <f t="array" ref="E11">E10+7</f>
        <v>46339</v>
      </c>
      <c r="F11" s="10" t="s">
        <v>32</v>
      </c>
      <c r="G11" s="11"/>
      <c r="H11" s="15"/>
    </row>
    <row r="12" spans="2:8" ht="20.7" customHeight="1">
      <c r="B12" s="13" t="s">
        <v>33</v>
      </c>
      <c r="C12" s="14" t="s">
        <v>34</v>
      </c>
      <c r="D12" s="65"/>
      <c r="E12" s="9" cm="1">
        <f t="array" ref="E12">E11+7</f>
        <v>46346</v>
      </c>
      <c r="F12" s="15"/>
      <c r="G12" s="11"/>
      <c r="H12" s="15"/>
    </row>
    <row r="13" spans="2:8" ht="20.7" customHeight="1">
      <c r="B13" s="13" t="s">
        <v>35</v>
      </c>
      <c r="C13" s="14" t="s">
        <v>36</v>
      </c>
      <c r="D13" s="65"/>
      <c r="E13" s="9" cm="1">
        <f t="array" ref="E13">E12+7</f>
        <v>46353</v>
      </c>
      <c r="F13" s="11"/>
      <c r="G13" s="11"/>
      <c r="H13" s="17" t="s">
        <v>37</v>
      </c>
    </row>
    <row r="14" spans="2:8" ht="20.7" customHeight="1">
      <c r="B14" s="13" t="s">
        <v>38</v>
      </c>
      <c r="C14" s="14" t="s">
        <v>39</v>
      </c>
      <c r="D14" s="65"/>
      <c r="E14" s="9" cm="1">
        <f t="array" ref="E14">E13+7</f>
        <v>46360</v>
      </c>
      <c r="F14" s="11"/>
      <c r="G14" s="11"/>
      <c r="H14" s="15"/>
    </row>
    <row r="15" spans="2:8" ht="20.7" customHeight="1">
      <c r="B15" s="13" t="s">
        <v>40</v>
      </c>
      <c r="C15" s="14" t="s">
        <v>41</v>
      </c>
      <c r="D15" s="64" t="s">
        <v>42</v>
      </c>
      <c r="E15" s="9" cm="1">
        <f t="array" ref="E15">E14+7</f>
        <v>46367</v>
      </c>
      <c r="F15" s="11"/>
      <c r="G15" s="11"/>
      <c r="H15" s="16" t="s">
        <v>43</v>
      </c>
    </row>
    <row r="16" spans="2:8" ht="20.7" customHeight="1">
      <c r="B16" s="13" t="s">
        <v>44</v>
      </c>
      <c r="C16" s="14" t="s">
        <v>45</v>
      </c>
      <c r="D16" s="65"/>
      <c r="E16" s="9" cm="1">
        <f t="array" ref="E16">E15+7</f>
        <v>46374</v>
      </c>
      <c r="F16" s="11"/>
      <c r="G16" s="11"/>
      <c r="H16" s="18" t="s">
        <v>46</v>
      </c>
    </row>
    <row r="17" spans="2:8" ht="20.7" customHeight="1">
      <c r="B17" s="13" t="s">
        <v>47</v>
      </c>
      <c r="C17" s="14" t="s">
        <v>48</v>
      </c>
      <c r="D17" s="65"/>
      <c r="E17" s="9" cm="1">
        <f t="array" ref="E17">E16+7</f>
        <v>46381</v>
      </c>
      <c r="F17" s="11"/>
      <c r="G17" s="11"/>
      <c r="H17" s="16" t="s">
        <v>49</v>
      </c>
    </row>
    <row r="18" spans="2:8" ht="20.7" customHeight="1">
      <c r="B18" s="13" t="s">
        <v>50</v>
      </c>
      <c r="C18" s="14" t="s">
        <v>51</v>
      </c>
      <c r="D18" s="65"/>
      <c r="E18" s="9" cm="1">
        <f t="array" ref="E18">E17+7</f>
        <v>46388</v>
      </c>
      <c r="F18" s="11"/>
      <c r="G18" s="11"/>
      <c r="H18" s="16" t="s">
        <v>49</v>
      </c>
    </row>
    <row r="19" spans="2:8" ht="20.7" customHeight="1">
      <c r="B19" s="13" t="s">
        <v>52</v>
      </c>
      <c r="C19" s="14" t="s">
        <v>53</v>
      </c>
      <c r="D19" s="64" t="s">
        <v>54</v>
      </c>
      <c r="E19" s="9" cm="1">
        <f t="array" ref="E19">E18+7</f>
        <v>46395</v>
      </c>
      <c r="F19" s="11"/>
      <c r="G19" s="11"/>
      <c r="H19" s="16" t="s">
        <v>49</v>
      </c>
    </row>
    <row r="20" spans="2:8" ht="20.7" customHeight="1">
      <c r="B20" s="19" t="s">
        <v>55</v>
      </c>
      <c r="C20" s="20" t="s">
        <v>56</v>
      </c>
      <c r="D20" s="65"/>
      <c r="E20" s="9" cm="1">
        <f t="array" ref="E20">E19+7</f>
        <v>46402</v>
      </c>
      <c r="F20" s="10" t="s">
        <v>57</v>
      </c>
      <c r="G20" s="11"/>
      <c r="H20" s="15"/>
    </row>
    <row r="21" spans="2:8" ht="45.75" customHeight="1">
      <c r="B21" s="21" t="s">
        <v>58</v>
      </c>
      <c r="C21" s="22" t="s">
        <v>59</v>
      </c>
      <c r="D21" s="65"/>
      <c r="E21" s="23" cm="1">
        <f t="array" ref="E21">E20+7</f>
        <v>46409</v>
      </c>
      <c r="F21" s="24"/>
      <c r="G21" s="24"/>
      <c r="H21" s="25" t="s">
        <v>60</v>
      </c>
    </row>
    <row r="22" spans="2:8" ht="21.75" customHeight="1">
      <c r="B22" s="13" t="s">
        <v>61</v>
      </c>
      <c r="C22" s="14" t="s">
        <v>62</v>
      </c>
      <c r="D22" s="65"/>
      <c r="E22" s="26" cm="1">
        <f t="array" ref="E22">E21+7</f>
        <v>46416</v>
      </c>
      <c r="F22" s="27"/>
      <c r="G22" s="27"/>
      <c r="H22" s="28" t="s">
        <v>63</v>
      </c>
    </row>
    <row r="23" spans="2:8" ht="21.15" customHeight="1">
      <c r="B23" s="29" t="s">
        <v>64</v>
      </c>
      <c r="C23" s="30" t="s">
        <v>65</v>
      </c>
      <c r="D23" s="66" t="s">
        <v>66</v>
      </c>
      <c r="E23" s="9" cm="1">
        <f t="array" ref="E23">E22+7</f>
        <v>46423</v>
      </c>
      <c r="F23" s="11"/>
      <c r="G23" s="11"/>
      <c r="H23" s="16" t="s">
        <v>67</v>
      </c>
    </row>
    <row r="24" spans="2:8" ht="33.15" customHeight="1">
      <c r="B24" s="31" t="s">
        <v>68</v>
      </c>
      <c r="C24" s="32" t="s">
        <v>69</v>
      </c>
      <c r="D24" s="65"/>
      <c r="E24" s="9" cm="1">
        <f t="array" ref="E24">E23+7</f>
        <v>46430</v>
      </c>
      <c r="F24" s="33" t="s">
        <v>70</v>
      </c>
      <c r="G24" s="11"/>
      <c r="H24" s="15"/>
    </row>
    <row r="25" spans="2:8" ht="20.7" customHeight="1">
      <c r="B25" s="13" t="s">
        <v>71</v>
      </c>
      <c r="C25" s="14" t="s">
        <v>72</v>
      </c>
      <c r="D25" s="65"/>
      <c r="E25" s="9" cm="1">
        <f t="array" ref="E25">E24+7</f>
        <v>46437</v>
      </c>
      <c r="F25" s="11"/>
      <c r="G25" s="11"/>
      <c r="H25" s="15"/>
    </row>
    <row r="26" spans="2:8" ht="20.7" customHeight="1">
      <c r="B26" s="13" t="s">
        <v>73</v>
      </c>
      <c r="C26" s="14" t="s">
        <v>74</v>
      </c>
      <c r="D26" s="65"/>
      <c r="E26" s="9" cm="1">
        <f t="array" ref="E26">E25+7</f>
        <v>46444</v>
      </c>
      <c r="F26" s="11"/>
      <c r="G26" s="11"/>
      <c r="H26" s="15"/>
    </row>
    <row r="27" spans="2:8" ht="20.7" customHeight="1">
      <c r="B27" s="13" t="s">
        <v>75</v>
      </c>
      <c r="C27" s="14" t="s">
        <v>76</v>
      </c>
      <c r="D27" s="64" t="s">
        <v>77</v>
      </c>
      <c r="E27" s="9" cm="1">
        <f t="array" ref="E27">E26+7</f>
        <v>46451</v>
      </c>
      <c r="F27" s="11"/>
      <c r="G27" s="11"/>
      <c r="H27" s="15"/>
    </row>
    <row r="28" spans="2:8" ht="20.7" customHeight="1">
      <c r="B28" s="13" t="s">
        <v>78</v>
      </c>
      <c r="C28" s="14" t="s">
        <v>79</v>
      </c>
      <c r="D28" s="65"/>
      <c r="E28" s="9" cm="1">
        <f t="array" ref="E28">E27+7</f>
        <v>46458</v>
      </c>
      <c r="F28" s="11"/>
      <c r="G28" s="11"/>
      <c r="H28" s="15"/>
    </row>
    <row r="29" spans="2:8" ht="20.7" customHeight="1">
      <c r="B29" s="13" t="s">
        <v>80</v>
      </c>
      <c r="C29" s="14" t="s">
        <v>81</v>
      </c>
      <c r="D29" s="65"/>
      <c r="E29" s="9" cm="1">
        <f t="array" ref="E29">E28+7</f>
        <v>46465</v>
      </c>
      <c r="F29" s="11"/>
      <c r="G29" s="11"/>
      <c r="H29" s="15"/>
    </row>
    <row r="30" spans="2:8" ht="20.7" customHeight="1">
      <c r="B30" s="13" t="s">
        <v>82</v>
      </c>
      <c r="C30" s="14" t="s">
        <v>83</v>
      </c>
      <c r="D30" s="65"/>
      <c r="E30" s="9" cm="1">
        <f t="array" ref="E30">E29+7</f>
        <v>46472</v>
      </c>
      <c r="F30" s="11"/>
      <c r="G30" s="11"/>
      <c r="H30" s="16" t="s">
        <v>84</v>
      </c>
    </row>
    <row r="31" spans="2:8" ht="20.7" customHeight="1">
      <c r="B31" s="13" t="s">
        <v>85</v>
      </c>
      <c r="C31" s="14" t="s">
        <v>86</v>
      </c>
      <c r="D31" s="65"/>
      <c r="E31" s="9" cm="1">
        <f t="array" ref="E31">E30+7</f>
        <v>46479</v>
      </c>
      <c r="F31" s="11"/>
      <c r="G31" s="11"/>
      <c r="H31" s="16" t="s">
        <v>84</v>
      </c>
    </row>
    <row r="32" spans="2:8" ht="20.7" customHeight="1">
      <c r="B32" s="13" t="s">
        <v>87</v>
      </c>
      <c r="C32" s="14" t="s">
        <v>88</v>
      </c>
      <c r="D32" s="64" t="s">
        <v>89</v>
      </c>
      <c r="E32" s="9" cm="1">
        <f t="array" ref="E32">E31+7</f>
        <v>46486</v>
      </c>
      <c r="F32" s="11"/>
      <c r="G32" s="11"/>
      <c r="H32" s="15"/>
    </row>
    <row r="33" spans="2:8" ht="20.7" customHeight="1">
      <c r="B33" s="13" t="s">
        <v>90</v>
      </c>
      <c r="C33" s="14" t="s">
        <v>91</v>
      </c>
      <c r="D33" s="65"/>
      <c r="E33" s="9" cm="1">
        <f t="array" ref="E33">E32+7</f>
        <v>46493</v>
      </c>
      <c r="F33" s="11"/>
      <c r="G33" s="11"/>
      <c r="H33" s="16" t="s">
        <v>92</v>
      </c>
    </row>
    <row r="34" spans="2:8" ht="20.7" customHeight="1">
      <c r="B34" s="13" t="s">
        <v>93</v>
      </c>
      <c r="C34" s="14" t="s">
        <v>94</v>
      </c>
      <c r="D34" s="65"/>
      <c r="E34" s="9" cm="1">
        <f t="array" ref="E34">E33+7</f>
        <v>46500</v>
      </c>
      <c r="F34" s="11"/>
      <c r="G34" s="11"/>
      <c r="H34" s="15"/>
    </row>
    <row r="35" spans="2:8" ht="44.7" customHeight="1">
      <c r="B35" s="13" t="s">
        <v>95</v>
      </c>
      <c r="C35" s="14" t="s">
        <v>96</v>
      </c>
      <c r="D35" s="65"/>
      <c r="E35" s="9" cm="1">
        <f t="array" ref="E35">E34+7</f>
        <v>46507</v>
      </c>
      <c r="F35" s="10" t="s">
        <v>97</v>
      </c>
      <c r="G35" s="11"/>
      <c r="H35" s="15"/>
    </row>
    <row r="36" spans="2:8" ht="44.7" customHeight="1">
      <c r="B36" s="13" t="s">
        <v>98</v>
      </c>
      <c r="C36" s="14" t="s">
        <v>99</v>
      </c>
      <c r="D36" s="64" t="s">
        <v>100</v>
      </c>
      <c r="E36" s="9" cm="1">
        <f t="array" ref="E36">E35+7</f>
        <v>46514</v>
      </c>
      <c r="F36" s="11"/>
      <c r="G36" s="11"/>
      <c r="H36" s="18" t="s">
        <v>101</v>
      </c>
    </row>
    <row r="37" spans="2:8" ht="20.7" customHeight="1">
      <c r="B37" s="13" t="s">
        <v>102</v>
      </c>
      <c r="C37" s="14" t="s">
        <v>103</v>
      </c>
      <c r="D37" s="65"/>
      <c r="E37" s="9" cm="1">
        <f t="array" ref="E37">E36+7</f>
        <v>46521</v>
      </c>
      <c r="F37" s="11"/>
      <c r="G37" s="11"/>
      <c r="H37" s="15"/>
    </row>
    <row r="38" spans="2:8" ht="21.75" customHeight="1">
      <c r="B38" s="13" t="s">
        <v>104</v>
      </c>
      <c r="C38" s="14" t="s">
        <v>105</v>
      </c>
      <c r="D38" s="65"/>
      <c r="E38" s="34" cm="1">
        <f t="array" ref="E38">E37+7</f>
        <v>46528</v>
      </c>
      <c r="F38" s="35"/>
      <c r="G38" s="35"/>
      <c r="H38" s="36" t="s">
        <v>106</v>
      </c>
    </row>
    <row r="39" spans="2:8" ht="67.95" customHeight="1">
      <c r="B39" s="13" t="s">
        <v>107</v>
      </c>
      <c r="C39" s="14" t="s">
        <v>108</v>
      </c>
      <c r="D39" s="65"/>
      <c r="E39" s="37" cm="1">
        <f t="array" ref="E39">E38+7</f>
        <v>46535</v>
      </c>
      <c r="F39" s="38"/>
      <c r="G39" s="39"/>
      <c r="H39" s="40" t="s">
        <v>109</v>
      </c>
    </row>
    <row r="40" spans="2:8" ht="32.700000000000003" customHeight="1">
      <c r="B40" s="13" t="s">
        <v>110</v>
      </c>
      <c r="C40" s="14" t="s">
        <v>111</v>
      </c>
      <c r="D40" s="65"/>
      <c r="E40" s="9" cm="1">
        <f t="array" ref="E40">E39+7</f>
        <v>46542</v>
      </c>
      <c r="F40" s="33" t="s">
        <v>112</v>
      </c>
      <c r="G40" s="11"/>
      <c r="H40" s="15"/>
    </row>
    <row r="41" spans="2:8" ht="20.7" customHeight="1">
      <c r="B41" s="13" t="s">
        <v>113</v>
      </c>
      <c r="C41" s="14" t="s">
        <v>114</v>
      </c>
      <c r="D41" s="64" t="s">
        <v>115</v>
      </c>
      <c r="E41" s="9" cm="1">
        <f t="array" ref="E41">E40+7</f>
        <v>46549</v>
      </c>
      <c r="F41" s="11"/>
      <c r="G41" s="11"/>
      <c r="H41" s="15"/>
    </row>
    <row r="42" spans="2:8" ht="45.75" customHeight="1">
      <c r="B42" s="13" t="s">
        <v>116</v>
      </c>
      <c r="C42" s="14" t="s">
        <v>117</v>
      </c>
      <c r="D42" s="65"/>
      <c r="E42" s="23" cm="1">
        <f t="array" ref="E42">E41+7</f>
        <v>46556</v>
      </c>
      <c r="F42" s="24"/>
      <c r="G42" s="24"/>
      <c r="H42" s="41" t="s">
        <v>118</v>
      </c>
    </row>
    <row r="43" spans="2:8" ht="21.75" customHeight="1">
      <c r="B43" s="13" t="s">
        <v>119</v>
      </c>
      <c r="C43" s="14" t="s">
        <v>120</v>
      </c>
      <c r="D43" s="65"/>
      <c r="E43" s="26" cm="1">
        <f t="array" ref="E43">E42+7</f>
        <v>46563</v>
      </c>
      <c r="F43" s="42"/>
      <c r="G43" s="42"/>
      <c r="H43" s="43" t="s">
        <v>121</v>
      </c>
    </row>
    <row r="44" spans="2:8" ht="68.7" customHeight="1">
      <c r="B44" s="13" t="s">
        <v>122</v>
      </c>
      <c r="C44" s="14" t="s">
        <v>123</v>
      </c>
      <c r="D44" s="65"/>
      <c r="E44" s="9" cm="1">
        <f t="array" ref="E44">E43+7</f>
        <v>46570</v>
      </c>
      <c r="F44" s="11"/>
      <c r="G44" s="11"/>
      <c r="H44" s="44" t="s">
        <v>124</v>
      </c>
    </row>
    <row r="45" spans="2:8" ht="20.7" customHeight="1">
      <c r="B45" s="13" t="s">
        <v>125</v>
      </c>
      <c r="C45" s="14" t="s">
        <v>126</v>
      </c>
      <c r="D45" s="45">
        <v>46204</v>
      </c>
      <c r="E45" s="9" cm="1">
        <f t="array" ref="E45">E44+7</f>
        <v>46577</v>
      </c>
      <c r="F45" s="11"/>
      <c r="G45" s="11"/>
      <c r="H45" s="15"/>
    </row>
  </sheetData>
  <mergeCells count="10">
    <mergeCell ref="D23:D26"/>
    <mergeCell ref="D27:D31"/>
    <mergeCell ref="D32:D35"/>
    <mergeCell ref="D36:D40"/>
    <mergeCell ref="D41:D44"/>
    <mergeCell ref="D2:D5"/>
    <mergeCell ref="D6:D9"/>
    <mergeCell ref="D10:D14"/>
    <mergeCell ref="D15:D18"/>
    <mergeCell ref="D19:D22"/>
  </mergeCells>
  <hyperlinks>
    <hyperlink ref="G2" r:id="rId1" xr:uid="{05B5B872-5477-4A6E-8248-74AD138D28B6}"/>
    <hyperlink ref="G3" r:id="rId2" xr:uid="{20589D99-E2C2-493B-BCF0-A1BAD54E5F0E}"/>
  </hyperlinks>
  <pageMargins left="1" right="1" top="1" bottom="1" header="0.25" footer="0.25"/>
  <pageSetup scale="55"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E0C612C1217242857E9950A1A95D7C" ma:contentTypeVersion="11" ma:contentTypeDescription="Ein neues Dokument erstellen." ma:contentTypeScope="" ma:versionID="fbf1797765f75f622167246f73b83dc3">
  <xsd:schema xmlns:xsd="http://www.w3.org/2001/XMLSchema" xmlns:xs="http://www.w3.org/2001/XMLSchema" xmlns:p="http://schemas.microsoft.com/office/2006/metadata/properties" xmlns:ns2="f6c2bc1c-a406-4b6a-88f0-0db426a98af1" xmlns:ns3="0507787f-f1d8-4ca7-b7f2-04cfcae8d677" targetNamespace="http://schemas.microsoft.com/office/2006/metadata/properties" ma:root="true" ma:fieldsID="2c3c15f1901d486fba6c58febf88836c" ns2:_="" ns3:_="">
    <xsd:import namespace="f6c2bc1c-a406-4b6a-88f0-0db426a98af1"/>
    <xsd:import namespace="0507787f-f1d8-4ca7-b7f2-04cfcae8d677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2bc1c-a406-4b6a-88f0-0db426a98af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0763a1d6-2794-49d4-adbf-622c5d6d15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7787f-f1d8-4ca7-b7f2-04cfcae8d67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a7cffe-f395-4caf-a0c5-6cc7976ef904}" ma:internalName="TaxCatchAll" ma:showField="CatchAllData" ma:web="0507787f-f1d8-4ca7-b7f2-04cfcae8d6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6c2bc1c-a406-4b6a-88f0-0db426a98af1" xsi:nil="true"/>
    <TaxCatchAll xmlns="0507787f-f1d8-4ca7-b7f2-04cfcae8d677" xsi:nil="true"/>
    <lcf76f155ced4ddcb4097134ff3c332f xmlns="f6c2bc1c-a406-4b6a-88f0-0db426a98a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841EB5-657B-4DB7-9CEA-9E023F30BD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7BF9DD-810C-4108-BC07-6ED39394E3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c2bc1c-a406-4b6a-88f0-0db426a98af1"/>
    <ds:schemaRef ds:uri="0507787f-f1d8-4ca7-b7f2-04cfcae8d6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0A0376-A61A-44B3-B2F9-41412BE4BC11}">
  <ds:schemaRefs>
    <ds:schemaRef ds:uri="http://schemas.microsoft.com/office/2006/metadata/properties"/>
    <ds:schemaRef ds:uri="http://schemas.microsoft.com/office/infopath/2007/PartnerControls"/>
    <ds:schemaRef ds:uri="f6c2bc1c-a406-4b6a-88f0-0db426a98af1"/>
    <ds:schemaRef ds:uri="0507787f-f1d8-4ca7-b7f2-04cfcae8d6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Zeitplan</vt:lpstr>
      <vt:lpstr>Protokolle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van Haentjens</cp:lastModifiedBy>
  <dcterms:modified xsi:type="dcterms:W3CDTF">2026-09-18T10:47:04Z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0x010100B1E0C612C1217242857E9950A1A95D7C</vt:lpwstr>
  </property>
</Properties>
</file>